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5" yWindow="-15" windowWidth="14400" windowHeight="12240"/>
  </bookViews>
  <sheets>
    <sheet name="★共創(2023入) " sheetId="14" r:id="rId1"/>
    <sheet name="入力用" sheetId="15" r:id="rId2"/>
    <sheet name="変更不可" sheetId="16" r:id="rId3"/>
    <sheet name="★ISI (2023)" sheetId="17" r:id="rId4"/>
    <sheet name="For Data entry" sheetId="18" r:id="rId5"/>
    <sheet name="Do not Change" sheetId="19" r:id="rId6"/>
  </sheets>
  <definedNames>
    <definedName name="_xlnm.Print_Area" localSheetId="3">'★ISI (2023)'!$A$1:$S$120</definedName>
    <definedName name="_xlnm.Print_Area" localSheetId="4">'For Data entry'!$A$1:$J$193</definedName>
  </definedNames>
  <calcPr calcId="162913"/>
</workbook>
</file>

<file path=xl/calcChain.xml><?xml version="1.0" encoding="utf-8"?>
<calcChain xmlns="http://schemas.openxmlformats.org/spreadsheetml/2006/main">
  <c r="H92" i="17" l="1"/>
  <c r="E92" i="17"/>
  <c r="I40" i="17"/>
  <c r="H47" i="14" l="1"/>
  <c r="E47" i="14"/>
  <c r="H56" i="14"/>
  <c r="H55" i="14"/>
  <c r="E56" i="14"/>
  <c r="E55" i="14"/>
  <c r="O84" i="14"/>
  <c r="G107" i="17" l="1"/>
  <c r="D107" i="17"/>
  <c r="D45" i="17"/>
  <c r="E78" i="17"/>
  <c r="N24" i="17"/>
  <c r="Q24" i="17"/>
  <c r="O24" i="17"/>
  <c r="N23" i="17"/>
  <c r="M24" i="17"/>
  <c r="O17" i="17"/>
  <c r="O16" i="17"/>
  <c r="N17" i="17"/>
  <c r="N16" i="17"/>
  <c r="M17" i="17"/>
  <c r="M16" i="17"/>
  <c r="H53" i="17"/>
  <c r="H50" i="17"/>
  <c r="G32" i="17"/>
  <c r="G108" i="14"/>
  <c r="D108" i="14"/>
  <c r="D56" i="14"/>
  <c r="E79" i="14"/>
  <c r="Q24" i="14"/>
  <c r="O24" i="14" l="1"/>
  <c r="O23" i="14"/>
  <c r="O22" i="14"/>
  <c r="O21" i="14"/>
  <c r="O20" i="14"/>
  <c r="O19" i="14"/>
  <c r="O17" i="14"/>
  <c r="O16" i="14"/>
  <c r="N24" i="14"/>
  <c r="M24" i="14"/>
  <c r="N17" i="14"/>
  <c r="N16" i="14"/>
  <c r="M17" i="14"/>
  <c r="M16" i="14"/>
  <c r="G45" i="14"/>
  <c r="G56" i="14"/>
  <c r="G55" i="14"/>
  <c r="O88" i="17" l="1"/>
  <c r="M88" i="17"/>
  <c r="O85" i="17"/>
  <c r="M85" i="17"/>
  <c r="M81" i="17"/>
  <c r="O86" i="14"/>
  <c r="G56" i="17"/>
  <c r="G55" i="17"/>
  <c r="G47" i="17"/>
  <c r="G45" i="17"/>
  <c r="G44" i="17"/>
  <c r="G42" i="17"/>
  <c r="G41" i="17"/>
  <c r="G22" i="17"/>
  <c r="G21" i="17"/>
  <c r="G20" i="17"/>
  <c r="G17" i="17"/>
  <c r="G16" i="17"/>
  <c r="G14" i="17"/>
  <c r="G15" i="17"/>
  <c r="G13" i="17"/>
  <c r="G12" i="17"/>
  <c r="H9" i="17"/>
  <c r="H6" i="17"/>
  <c r="F47" i="17"/>
  <c r="E110" i="17"/>
  <c r="H110" i="17"/>
  <c r="B76" i="17"/>
  <c r="H9" i="14" l="1"/>
  <c r="H6" i="14"/>
  <c r="G12" i="14"/>
  <c r="G13" i="14"/>
  <c r="G14" i="14"/>
  <c r="G15" i="14"/>
  <c r="G16" i="14"/>
  <c r="G17" i="14"/>
  <c r="G20" i="14"/>
  <c r="G21" i="14"/>
  <c r="G22" i="14"/>
  <c r="H53" i="14"/>
  <c r="H50" i="14"/>
  <c r="G47" i="14"/>
  <c r="F47" i="14"/>
  <c r="G44" i="14"/>
  <c r="G42" i="14"/>
  <c r="G41" i="14"/>
  <c r="J40" i="17"/>
  <c r="F56" i="14"/>
  <c r="F55" i="14"/>
  <c r="B56" i="14"/>
  <c r="D55" i="14"/>
  <c r="B55" i="14"/>
  <c r="H45" i="14"/>
  <c r="H44" i="14"/>
  <c r="H44" i="17"/>
  <c r="H45" i="17"/>
  <c r="E56" i="17"/>
  <c r="E55" i="17"/>
  <c r="H55" i="17"/>
  <c r="H56" i="17"/>
  <c r="F56" i="17"/>
  <c r="F55" i="17"/>
  <c r="D56" i="17"/>
  <c r="D55" i="17"/>
  <c r="B56" i="17"/>
  <c r="B55" i="17"/>
  <c r="H47" i="17"/>
  <c r="E47" i="17"/>
  <c r="D47" i="17"/>
  <c r="B47" i="17"/>
  <c r="F45" i="17"/>
  <c r="F44" i="17"/>
  <c r="D47" i="14"/>
  <c r="B47" i="14"/>
  <c r="F45" i="14"/>
  <c r="F44" i="14"/>
  <c r="B45" i="17"/>
  <c r="E45" i="17"/>
  <c r="B45" i="14"/>
  <c r="D45" i="14"/>
  <c r="E45" i="14"/>
  <c r="M2" i="17" l="1"/>
  <c r="M1" i="17"/>
  <c r="H120" i="17"/>
  <c r="F120" i="17"/>
  <c r="E120" i="17"/>
  <c r="B120" i="17"/>
  <c r="H118" i="17"/>
  <c r="F118" i="17"/>
  <c r="E118" i="17"/>
  <c r="B118" i="17"/>
  <c r="H117" i="17"/>
  <c r="F117" i="17"/>
  <c r="E117" i="17"/>
  <c r="B117" i="17"/>
  <c r="H116" i="17"/>
  <c r="F116" i="17"/>
  <c r="E116" i="17"/>
  <c r="B116" i="17"/>
  <c r="H112" i="17"/>
  <c r="E112" i="17"/>
  <c r="E111" i="17"/>
  <c r="H107" i="17"/>
  <c r="F107" i="17"/>
  <c r="E107" i="17"/>
  <c r="B107" i="17"/>
  <c r="H104" i="17"/>
  <c r="E104" i="17"/>
  <c r="H101" i="17"/>
  <c r="F101" i="17"/>
  <c r="E101" i="17"/>
  <c r="B101" i="17"/>
  <c r="E98" i="17"/>
  <c r="H97" i="17"/>
  <c r="E97" i="17"/>
  <c r="H96" i="17"/>
  <c r="E96" i="17"/>
  <c r="H95" i="17"/>
  <c r="E95" i="17"/>
  <c r="F92" i="17"/>
  <c r="B92" i="17"/>
  <c r="H90" i="17"/>
  <c r="F90" i="17"/>
  <c r="E90" i="17"/>
  <c r="B90" i="17"/>
  <c r="H89" i="17"/>
  <c r="F89" i="17"/>
  <c r="E89" i="17"/>
  <c r="B89" i="17"/>
  <c r="H88" i="17"/>
  <c r="F88" i="17"/>
  <c r="E88" i="17"/>
  <c r="B88" i="17"/>
  <c r="H87" i="17"/>
  <c r="F87" i="17"/>
  <c r="E87" i="17"/>
  <c r="B87" i="17"/>
  <c r="H86" i="17"/>
  <c r="F86" i="17"/>
  <c r="E86" i="17"/>
  <c r="B86" i="17"/>
  <c r="H85" i="17"/>
  <c r="F85" i="17"/>
  <c r="E85" i="17"/>
  <c r="B85" i="17"/>
  <c r="H84" i="17"/>
  <c r="F84" i="17"/>
  <c r="E84" i="17"/>
  <c r="B84" i="17"/>
  <c r="H83" i="17"/>
  <c r="F83" i="17"/>
  <c r="E83" i="17"/>
  <c r="B83" i="17"/>
  <c r="H82" i="17"/>
  <c r="F82" i="17"/>
  <c r="E82" i="17"/>
  <c r="B82" i="17"/>
  <c r="H81" i="17"/>
  <c r="F81" i="17"/>
  <c r="E81" i="17"/>
  <c r="B81" i="17"/>
  <c r="H78" i="17"/>
  <c r="F78" i="17"/>
  <c r="B78" i="17"/>
  <c r="H76" i="17"/>
  <c r="F76" i="17"/>
  <c r="E76" i="17"/>
  <c r="H74" i="17"/>
  <c r="F74" i="17"/>
  <c r="E74" i="17"/>
  <c r="B74" i="17"/>
  <c r="G72" i="17"/>
  <c r="H71" i="17"/>
  <c r="E68" i="17"/>
  <c r="H67" i="17"/>
  <c r="E67" i="17"/>
  <c r="H66" i="17"/>
  <c r="E66" i="17"/>
  <c r="H65" i="17"/>
  <c r="E65" i="17"/>
  <c r="E44" i="17"/>
  <c r="D44" i="17"/>
  <c r="B44" i="17"/>
  <c r="H42" i="17"/>
  <c r="F42" i="17"/>
  <c r="E42" i="17"/>
  <c r="D42" i="17"/>
  <c r="B42" i="17"/>
  <c r="H41" i="17"/>
  <c r="F41" i="17"/>
  <c r="E41" i="17"/>
  <c r="D41" i="17"/>
  <c r="B41" i="17"/>
  <c r="H39" i="17"/>
  <c r="F39" i="17"/>
  <c r="E39" i="17"/>
  <c r="B39" i="17"/>
  <c r="H38" i="17"/>
  <c r="F38" i="17"/>
  <c r="E38" i="17"/>
  <c r="B38" i="17"/>
  <c r="H37" i="17"/>
  <c r="F37" i="17"/>
  <c r="E37" i="17"/>
  <c r="B37" i="17"/>
  <c r="Q36" i="17"/>
  <c r="O36" i="17"/>
  <c r="N36" i="17"/>
  <c r="M36" i="17"/>
  <c r="H36" i="17"/>
  <c r="F36" i="17"/>
  <c r="E36" i="17"/>
  <c r="B36" i="17"/>
  <c r="Q35" i="17"/>
  <c r="O35" i="17"/>
  <c r="N35" i="17"/>
  <c r="M35" i="17"/>
  <c r="H35" i="17"/>
  <c r="F35" i="17"/>
  <c r="E35" i="17"/>
  <c r="B35" i="17"/>
  <c r="Q34" i="17"/>
  <c r="O34" i="17"/>
  <c r="N34" i="17"/>
  <c r="M34" i="17"/>
  <c r="H34" i="17"/>
  <c r="F34" i="17"/>
  <c r="E34" i="17"/>
  <c r="B34" i="17"/>
  <c r="Q33" i="17"/>
  <c r="O33" i="17"/>
  <c r="N33" i="17"/>
  <c r="M33" i="17"/>
  <c r="Q32" i="17"/>
  <c r="O32" i="17"/>
  <c r="N32" i="17"/>
  <c r="M32" i="17"/>
  <c r="H32" i="17"/>
  <c r="F32" i="17"/>
  <c r="E32" i="17"/>
  <c r="D32" i="17"/>
  <c r="B32" i="17"/>
  <c r="Q31" i="17"/>
  <c r="O31" i="17"/>
  <c r="N31" i="17"/>
  <c r="M31" i="17"/>
  <c r="H30" i="17"/>
  <c r="E30" i="17"/>
  <c r="H29" i="17"/>
  <c r="E29" i="17"/>
  <c r="H28" i="17"/>
  <c r="E28" i="17"/>
  <c r="H27" i="17"/>
  <c r="E27" i="17"/>
  <c r="H26" i="17"/>
  <c r="E26" i="17"/>
  <c r="Q23" i="17"/>
  <c r="O23" i="17"/>
  <c r="M23" i="17"/>
  <c r="Q22" i="17"/>
  <c r="O22" i="17"/>
  <c r="N22" i="17"/>
  <c r="M22" i="17"/>
  <c r="H22" i="17"/>
  <c r="F22" i="17"/>
  <c r="E22" i="17"/>
  <c r="D22" i="17"/>
  <c r="B22" i="17"/>
  <c r="Q21" i="17"/>
  <c r="O21" i="17"/>
  <c r="N21" i="17"/>
  <c r="M21" i="17"/>
  <c r="H21" i="17"/>
  <c r="F21" i="17"/>
  <c r="E21" i="17"/>
  <c r="D21" i="17"/>
  <c r="B21" i="17"/>
  <c r="Q20" i="17"/>
  <c r="O20" i="17"/>
  <c r="N20" i="17"/>
  <c r="M20" i="17"/>
  <c r="H20" i="17"/>
  <c r="F20" i="17"/>
  <c r="E20" i="17"/>
  <c r="D20" i="17"/>
  <c r="B20" i="17"/>
  <c r="Q19" i="17"/>
  <c r="O19" i="17"/>
  <c r="N19" i="17"/>
  <c r="M19" i="17"/>
  <c r="E18" i="17"/>
  <c r="D18" i="17"/>
  <c r="C18" i="17"/>
  <c r="H17" i="17"/>
  <c r="F17" i="17"/>
  <c r="E17" i="17"/>
  <c r="D17" i="17"/>
  <c r="C17" i="17"/>
  <c r="H16" i="17"/>
  <c r="F16" i="17"/>
  <c r="E16" i="17"/>
  <c r="H15" i="17"/>
  <c r="F15" i="17"/>
  <c r="E15" i="17"/>
  <c r="H14" i="17"/>
  <c r="F14" i="17"/>
  <c r="E14" i="17"/>
  <c r="D14" i="17"/>
  <c r="C14" i="17"/>
  <c r="H13" i="17"/>
  <c r="F13" i="17"/>
  <c r="E13" i="17"/>
  <c r="D13" i="17"/>
  <c r="C13" i="17"/>
  <c r="H12" i="17"/>
  <c r="F12" i="17"/>
  <c r="E12" i="17"/>
  <c r="D12" i="17"/>
  <c r="C12" i="17"/>
  <c r="Q11" i="17"/>
  <c r="O11" i="17"/>
  <c r="N11" i="17"/>
  <c r="M11" i="17"/>
  <c r="Q10" i="17"/>
  <c r="O10" i="17"/>
  <c r="N10" i="17"/>
  <c r="M10" i="17"/>
  <c r="Q9" i="17"/>
  <c r="O9" i="17"/>
  <c r="N9" i="17"/>
  <c r="M9" i="17"/>
  <c r="Q8" i="17"/>
  <c r="O8" i="17"/>
  <c r="N8" i="17"/>
  <c r="M8" i="17"/>
  <c r="Q7" i="17"/>
  <c r="O7" i="17"/>
  <c r="N7" i="17"/>
  <c r="M7" i="17"/>
  <c r="Q6" i="17"/>
  <c r="O6" i="17"/>
  <c r="N6" i="17"/>
  <c r="M6" i="17"/>
  <c r="M3" i="17"/>
  <c r="O81" i="17"/>
  <c r="R36" i="17" l="1"/>
  <c r="P36" i="17"/>
  <c r="R35" i="17"/>
  <c r="P35" i="17"/>
  <c r="R34" i="17"/>
  <c r="P34" i="17"/>
  <c r="R33" i="17"/>
  <c r="P33" i="17"/>
  <c r="R32" i="17"/>
  <c r="P32" i="17"/>
  <c r="R31" i="17"/>
  <c r="P31" i="17"/>
  <c r="R24" i="17"/>
  <c r="P24" i="17"/>
  <c r="R23" i="17"/>
  <c r="P23" i="17"/>
  <c r="R22" i="17"/>
  <c r="P22" i="17"/>
  <c r="R21" i="17"/>
  <c r="P21" i="17"/>
  <c r="R20" i="17"/>
  <c r="P20" i="17"/>
  <c r="R19" i="17"/>
  <c r="P19" i="17"/>
  <c r="P17" i="17"/>
  <c r="P16" i="17"/>
  <c r="R11" i="17"/>
  <c r="P11" i="17"/>
  <c r="R10" i="17"/>
  <c r="P10" i="17"/>
  <c r="R9" i="17"/>
  <c r="P9" i="17"/>
  <c r="R8" i="17"/>
  <c r="P8" i="17"/>
  <c r="R7" i="17"/>
  <c r="P7" i="17"/>
  <c r="R6" i="17"/>
  <c r="P6" i="17"/>
  <c r="M86" i="14" l="1"/>
  <c r="M84" i="14"/>
  <c r="F40" i="14"/>
  <c r="H113" i="14"/>
  <c r="E113" i="14"/>
  <c r="H111" i="14"/>
  <c r="E112" i="14"/>
  <c r="E111" i="14"/>
  <c r="F108" i="14"/>
  <c r="H108" i="14"/>
  <c r="E108" i="14"/>
  <c r="B108" i="14"/>
  <c r="H105" i="14"/>
  <c r="E105" i="14"/>
  <c r="H98" i="14"/>
  <c r="H97" i="14"/>
  <c r="H96" i="14"/>
  <c r="E99" i="14"/>
  <c r="E98" i="14"/>
  <c r="E97" i="14"/>
  <c r="E96" i="14"/>
  <c r="H93" i="14"/>
  <c r="F93" i="14"/>
  <c r="E93" i="14"/>
  <c r="B93" i="14"/>
  <c r="H102" i="14"/>
  <c r="F102" i="14"/>
  <c r="E102" i="14"/>
  <c r="B102" i="14"/>
  <c r="F121" i="14"/>
  <c r="H121" i="14"/>
  <c r="E121" i="14"/>
  <c r="B121" i="14"/>
  <c r="H119" i="14"/>
  <c r="F119" i="14"/>
  <c r="E119" i="14"/>
  <c r="B119" i="14"/>
  <c r="H118" i="14"/>
  <c r="F118" i="14"/>
  <c r="E118" i="14"/>
  <c r="B118" i="14"/>
  <c r="F117" i="14"/>
  <c r="H117" i="14"/>
  <c r="E117" i="14"/>
  <c r="B117" i="14"/>
  <c r="H91" i="14"/>
  <c r="H90" i="14"/>
  <c r="H89" i="14"/>
  <c r="H88" i="14"/>
  <c r="H87" i="14"/>
  <c r="H86" i="14"/>
  <c r="H85" i="14"/>
  <c r="H84" i="14"/>
  <c r="H83" i="14"/>
  <c r="H82" i="14"/>
  <c r="H79" i="14"/>
  <c r="H75" i="14"/>
  <c r="F91" i="14"/>
  <c r="F90" i="14"/>
  <c r="F89" i="14"/>
  <c r="F88" i="14"/>
  <c r="F87" i="14"/>
  <c r="F86" i="14"/>
  <c r="F85" i="14"/>
  <c r="F84" i="14"/>
  <c r="F83" i="14"/>
  <c r="F82" i="14"/>
  <c r="E91" i="14"/>
  <c r="B91" i="14"/>
  <c r="E90" i="14"/>
  <c r="B90" i="14"/>
  <c r="E89" i="14"/>
  <c r="B89" i="14"/>
  <c r="E88" i="14"/>
  <c r="B88" i="14"/>
  <c r="E87" i="14"/>
  <c r="B87" i="14"/>
  <c r="E86" i="14"/>
  <c r="B86" i="14"/>
  <c r="E85" i="14"/>
  <c r="B85" i="14"/>
  <c r="E84" i="14"/>
  <c r="B84" i="14"/>
  <c r="E83" i="14"/>
  <c r="B83" i="14"/>
  <c r="E82" i="14"/>
  <c r="B82" i="14"/>
  <c r="H77" i="14"/>
  <c r="F77" i="14"/>
  <c r="E77" i="14"/>
  <c r="B77" i="14"/>
  <c r="F79" i="14"/>
  <c r="B79" i="14"/>
  <c r="F75" i="14"/>
  <c r="B44" i="14"/>
  <c r="F42" i="14"/>
  <c r="F41" i="14"/>
  <c r="F39" i="14"/>
  <c r="F38" i="14"/>
  <c r="F37" i="14"/>
  <c r="F36" i="14"/>
  <c r="F35" i="14"/>
  <c r="F34" i="14"/>
  <c r="F32" i="14"/>
  <c r="F22" i="14"/>
  <c r="F21" i="14"/>
  <c r="F20" i="14"/>
  <c r="F17" i="14"/>
  <c r="F16" i="14"/>
  <c r="F15" i="14"/>
  <c r="F14" i="14"/>
  <c r="F13" i="14"/>
  <c r="F12" i="14"/>
  <c r="B22" i="14"/>
  <c r="B21" i="14"/>
  <c r="B20" i="14"/>
  <c r="B32" i="14"/>
  <c r="B75" i="14"/>
  <c r="B42" i="14"/>
  <c r="B41" i="14"/>
  <c r="B39" i="14"/>
  <c r="B38" i="14"/>
  <c r="B37" i="14"/>
  <c r="B36" i="14"/>
  <c r="B35" i="14"/>
  <c r="B34" i="14"/>
  <c r="E75" i="14"/>
  <c r="H72" i="14"/>
  <c r="H68" i="14"/>
  <c r="H67" i="14"/>
  <c r="H66" i="14"/>
  <c r="E69" i="14"/>
  <c r="E68" i="14"/>
  <c r="E67" i="14"/>
  <c r="E66" i="14"/>
  <c r="R36" i="14"/>
  <c r="Q36" i="14"/>
  <c r="P36" i="14"/>
  <c r="O36" i="14"/>
  <c r="N36" i="14"/>
  <c r="M36" i="14"/>
  <c r="R35" i="14"/>
  <c r="Q35" i="14"/>
  <c r="P35" i="14"/>
  <c r="O35" i="14"/>
  <c r="N35" i="14"/>
  <c r="M35" i="14"/>
  <c r="R34" i="14"/>
  <c r="Q34" i="14"/>
  <c r="P34" i="14"/>
  <c r="O34" i="14"/>
  <c r="N34" i="14"/>
  <c r="M34" i="14"/>
  <c r="R33" i="14"/>
  <c r="Q33" i="14"/>
  <c r="P33" i="14"/>
  <c r="O33" i="14"/>
  <c r="N33" i="14"/>
  <c r="M33" i="14"/>
  <c r="R32" i="14"/>
  <c r="Q32" i="14"/>
  <c r="P32" i="14"/>
  <c r="O32" i="14"/>
  <c r="N32" i="14"/>
  <c r="M32" i="14"/>
  <c r="Q31" i="14"/>
  <c r="O31" i="14"/>
  <c r="N31" i="14"/>
  <c r="M31" i="14"/>
  <c r="R31" i="14"/>
  <c r="P31" i="14"/>
  <c r="N23" i="14"/>
  <c r="N22" i="14"/>
  <c r="N21" i="14"/>
  <c r="N20" i="14"/>
  <c r="N19" i="14"/>
  <c r="N7" i="14"/>
  <c r="N8" i="14"/>
  <c r="N9" i="14"/>
  <c r="N10" i="14"/>
  <c r="N11" i="14"/>
  <c r="N6" i="14"/>
  <c r="P17" i="14"/>
  <c r="P16" i="14"/>
  <c r="R24" i="14"/>
  <c r="P24" i="14"/>
  <c r="R23" i="14"/>
  <c r="Q23" i="14"/>
  <c r="P23" i="14"/>
  <c r="M23" i="14"/>
  <c r="R22" i="14"/>
  <c r="Q22" i="14"/>
  <c r="P22" i="14"/>
  <c r="M22" i="14"/>
  <c r="R21" i="14"/>
  <c r="Q21" i="14"/>
  <c r="P21" i="14"/>
  <c r="M21" i="14"/>
  <c r="R20" i="14"/>
  <c r="Q20" i="14"/>
  <c r="P20" i="14"/>
  <c r="M20" i="14"/>
  <c r="Q19" i="14"/>
  <c r="M19" i="14"/>
  <c r="R19" i="14"/>
  <c r="P19" i="14"/>
  <c r="R11" i="14"/>
  <c r="Q11" i="14"/>
  <c r="P11" i="14"/>
  <c r="O11" i="14"/>
  <c r="M11" i="14"/>
  <c r="R10" i="14"/>
  <c r="Q10" i="14"/>
  <c r="P10" i="14"/>
  <c r="O10" i="14"/>
  <c r="M10" i="14"/>
  <c r="R9" i="14"/>
  <c r="Q9" i="14"/>
  <c r="P9" i="14"/>
  <c r="O9" i="14"/>
  <c r="M9" i="14"/>
  <c r="R8" i="14"/>
  <c r="Q8" i="14"/>
  <c r="P8" i="14"/>
  <c r="O8" i="14"/>
  <c r="M8" i="14"/>
  <c r="R7" i="14"/>
  <c r="Q7" i="14"/>
  <c r="P7" i="14"/>
  <c r="O7" i="14"/>
  <c r="M7" i="14"/>
  <c r="Q6" i="14"/>
  <c r="R6" i="14"/>
  <c r="O6" i="14"/>
  <c r="P6" i="14"/>
  <c r="M6" i="14"/>
  <c r="O82" i="14"/>
  <c r="D73" i="14" l="1"/>
  <c r="M2" i="14"/>
  <c r="M3" i="14"/>
  <c r="M1" i="14"/>
  <c r="H42" i="14" l="1"/>
  <c r="H41" i="14"/>
  <c r="E44" i="14"/>
  <c r="D44" i="14"/>
  <c r="E42" i="14"/>
  <c r="D42" i="14"/>
  <c r="E41" i="14"/>
  <c r="D41" i="14"/>
  <c r="H39" i="14"/>
  <c r="H38" i="14"/>
  <c r="H37" i="14"/>
  <c r="H36" i="14"/>
  <c r="H35" i="14"/>
  <c r="H34" i="14"/>
  <c r="E39" i="14"/>
  <c r="E38" i="14"/>
  <c r="E37" i="14"/>
  <c r="E36" i="14"/>
  <c r="E35" i="14"/>
  <c r="E34" i="14"/>
  <c r="H32" i="14"/>
  <c r="G32" i="14"/>
  <c r="E32" i="14"/>
  <c r="D32" i="14"/>
  <c r="H30" i="14"/>
  <c r="H29" i="14"/>
  <c r="H28" i="14"/>
  <c r="H27" i="14"/>
  <c r="H26" i="14"/>
  <c r="E30" i="14"/>
  <c r="E29" i="14"/>
  <c r="E28" i="14"/>
  <c r="E27" i="14"/>
  <c r="E26" i="14"/>
  <c r="C18" i="14"/>
  <c r="C17" i="14"/>
  <c r="C14" i="14"/>
  <c r="C13" i="14"/>
  <c r="D22" i="14"/>
  <c r="D21" i="14"/>
  <c r="D20" i="14"/>
  <c r="D14" i="14"/>
  <c r="D13" i="14"/>
  <c r="D18" i="14"/>
  <c r="D17" i="14"/>
  <c r="H22" i="14"/>
  <c r="H21" i="14"/>
  <c r="H20" i="14"/>
  <c r="E22" i="14"/>
  <c r="E21" i="14"/>
  <c r="E20" i="14"/>
  <c r="D12" i="14"/>
  <c r="C12" i="14"/>
  <c r="H17" i="14"/>
  <c r="H16" i="14"/>
  <c r="H15" i="14"/>
  <c r="E18" i="14"/>
  <c r="E17" i="14"/>
  <c r="E16" i="14"/>
  <c r="E15" i="14"/>
  <c r="H14" i="14"/>
  <c r="H13" i="14"/>
  <c r="H12" i="14"/>
  <c r="E13" i="14"/>
  <c r="E14" i="14"/>
  <c r="E12" i="14"/>
</calcChain>
</file>

<file path=xl/sharedStrings.xml><?xml version="1.0" encoding="utf-8"?>
<sst xmlns="http://schemas.openxmlformats.org/spreadsheetml/2006/main" count="620" uniqueCount="449">
  <si>
    <t>Ⅰ．基幹教育科目（４８単位）</t>
    <rPh sb="2" eb="4">
      <t>キカン</t>
    </rPh>
    <rPh sb="4" eb="6">
      <t>キョウイク</t>
    </rPh>
    <rPh sb="6" eb="8">
      <t>カモク</t>
    </rPh>
    <rPh sb="11" eb="13">
      <t>タンイ</t>
    </rPh>
    <phoneticPr fontId="1"/>
  </si>
  <si>
    <t>文系</t>
    <rPh sb="0" eb="2">
      <t>ブンケイ</t>
    </rPh>
    <phoneticPr fontId="1"/>
  </si>
  <si>
    <t>Ⅱ．専攻教育科目（７６単位）</t>
    <rPh sb="2" eb="4">
      <t>センコウ</t>
    </rPh>
    <rPh sb="4" eb="6">
      <t>キョウイク</t>
    </rPh>
    <rPh sb="6" eb="8">
      <t>カモク</t>
    </rPh>
    <rPh sb="11" eb="13">
      <t>タンイ</t>
    </rPh>
    <phoneticPr fontId="1"/>
  </si>
  <si>
    <t>基幹教育セミナー（必修：１単位）</t>
    <rPh sb="0" eb="2">
      <t>キカン</t>
    </rPh>
    <rPh sb="2" eb="4">
      <t>キョウイク</t>
    </rPh>
    <rPh sb="9" eb="11">
      <t>ヒッシュウ</t>
    </rPh>
    <rPh sb="13" eb="15">
      <t>タンイ</t>
    </rPh>
    <phoneticPr fontId="1"/>
  </si>
  <si>
    <t>健康・スポーツ科目（必修：１単位）</t>
    <rPh sb="0" eb="2">
      <t>ケンコウ</t>
    </rPh>
    <rPh sb="7" eb="9">
      <t>カモク</t>
    </rPh>
    <rPh sb="10" eb="12">
      <t>ヒッシュウ</t>
    </rPh>
    <rPh sb="14" eb="16">
      <t>タンイ</t>
    </rPh>
    <phoneticPr fontId="1"/>
  </si>
  <si>
    <t>高年次基幹教育科目（必修：２単位）</t>
    <rPh sb="0" eb="1">
      <t>コウ</t>
    </rPh>
    <rPh sb="1" eb="3">
      <t>ネンジ</t>
    </rPh>
    <rPh sb="3" eb="5">
      <t>キカン</t>
    </rPh>
    <rPh sb="5" eb="7">
      <t>キョウイク</t>
    </rPh>
    <rPh sb="7" eb="9">
      <t>カモク</t>
    </rPh>
    <rPh sb="10" eb="12">
      <t>ヒッシュウ</t>
    </rPh>
    <rPh sb="14" eb="16">
      <t>タンイ</t>
    </rPh>
    <phoneticPr fontId="1"/>
  </si>
  <si>
    <t>サイバーセキュリティ科目（必修：１単位）</t>
    <rPh sb="10" eb="12">
      <t>カモク</t>
    </rPh>
    <rPh sb="13" eb="15">
      <t>ヒッシュウ</t>
    </rPh>
    <rPh sb="17" eb="19">
      <t>タンイ</t>
    </rPh>
    <phoneticPr fontId="1"/>
  </si>
  <si>
    <t>総合科目</t>
    <rPh sb="0" eb="2">
      <t>ソウゴウ</t>
    </rPh>
    <rPh sb="2" eb="4">
      <t>カモク</t>
    </rPh>
    <phoneticPr fontId="1"/>
  </si>
  <si>
    <t>課題協学科目（必修：２．５単位）</t>
    <rPh sb="0" eb="2">
      <t>カダイ</t>
    </rPh>
    <rPh sb="2" eb="3">
      <t>キョウ</t>
    </rPh>
    <rPh sb="3" eb="4">
      <t>ガク</t>
    </rPh>
    <rPh sb="4" eb="6">
      <t>カモク</t>
    </rPh>
    <rPh sb="7" eb="9">
      <t>ヒッシュウ</t>
    </rPh>
    <rPh sb="13" eb="15">
      <t>タンイ</t>
    </rPh>
    <phoneticPr fontId="1"/>
  </si>
  <si>
    <t>文系ﾃﾞィｼﾌﾟﾘﾝ科目（必修：８単位），理系ﾃﾞィｼﾌﾟﾘﾝ科目（必修：８単位）</t>
    <rPh sb="0" eb="2">
      <t>ブンケイ</t>
    </rPh>
    <rPh sb="10" eb="12">
      <t>カモク</t>
    </rPh>
    <rPh sb="13" eb="14">
      <t>：</t>
    </rPh>
    <rPh sb="14" eb="16">
      <t>ブンケイ</t>
    </rPh>
    <rPh sb="17" eb="19">
      <t>タンイ</t>
    </rPh>
    <rPh sb="21" eb="22">
      <t>リ</t>
    </rPh>
    <rPh sb="22" eb="23">
      <t>ケイ</t>
    </rPh>
    <phoneticPr fontId="1"/>
  </si>
  <si>
    <t>異文化対応 1</t>
  </si>
  <si>
    <t>ディグリープロジェクト１</t>
    <phoneticPr fontId="1"/>
  </si>
  <si>
    <t>ディグリープロジェクト２</t>
    <phoneticPr fontId="1"/>
  </si>
  <si>
    <t>言語文化科目（必修：第１外国語１２単位，第２外国語４単位）</t>
    <rPh sb="0" eb="2">
      <t>ゲンゴ</t>
    </rPh>
    <rPh sb="2" eb="4">
      <t>ブンカ</t>
    </rPh>
    <rPh sb="4" eb="6">
      <t>カモク</t>
    </rPh>
    <rPh sb="7" eb="9">
      <t>ヒッシュウ</t>
    </rPh>
    <rPh sb="10" eb="11">
      <t>ダイ</t>
    </rPh>
    <rPh sb="12" eb="15">
      <t>ガイコクゴ</t>
    </rPh>
    <rPh sb="17" eb="19">
      <t>タンイ</t>
    </rPh>
    <rPh sb="20" eb="21">
      <t>ダイ</t>
    </rPh>
    <rPh sb="22" eb="25">
      <t>ガイコクゴ</t>
    </rPh>
    <rPh sb="26" eb="28">
      <t>タンイ</t>
    </rPh>
    <phoneticPr fontId="1"/>
  </si>
  <si>
    <t>理系</t>
    <phoneticPr fontId="1"/>
  </si>
  <si>
    <t>　（Ａ）＋（Ｂ）＋（Ｃ）＋
（Ｄ）＋（Ｅ）＋（Ｆ）＝</t>
    <phoneticPr fontId="1"/>
  </si>
  <si>
    <t>第１外国語（英語）　※４月入学生</t>
    <rPh sb="0" eb="1">
      <t>ダイ</t>
    </rPh>
    <rPh sb="2" eb="5">
      <t>ガイコクゴ</t>
    </rPh>
    <rPh sb="6" eb="8">
      <t>エイゴ</t>
    </rPh>
    <rPh sb="12" eb="13">
      <t>ガツ</t>
    </rPh>
    <rPh sb="13" eb="15">
      <t>ニュウガク</t>
    </rPh>
    <rPh sb="15" eb="16">
      <t>セイ</t>
    </rPh>
    <phoneticPr fontId="1"/>
  </si>
  <si>
    <t>第１外国語（日本語）　※10月入学生</t>
    <rPh sb="0" eb="1">
      <t>ダイ</t>
    </rPh>
    <rPh sb="2" eb="5">
      <t>ガイコクゴ</t>
    </rPh>
    <rPh sb="6" eb="9">
      <t>ニホンゴ</t>
    </rPh>
    <phoneticPr fontId="1"/>
  </si>
  <si>
    <t>協働科目（必修：８単位）</t>
    <rPh sb="0" eb="2">
      <t>キョウドウ</t>
    </rPh>
    <rPh sb="2" eb="4">
      <t>カモク</t>
    </rPh>
    <rPh sb="5" eb="7">
      <t>ヒッシュウ</t>
    </rPh>
    <rPh sb="9" eb="11">
      <t>タンイ</t>
    </rPh>
    <phoneticPr fontId="1"/>
  </si>
  <si>
    <t>経験科目（必修：２単位）</t>
    <rPh sb="0" eb="2">
      <t>ケイケン</t>
    </rPh>
    <rPh sb="2" eb="4">
      <t>カモク</t>
    </rPh>
    <rPh sb="5" eb="7">
      <t>ヒッシュウ</t>
    </rPh>
    <rPh sb="9" eb="11">
      <t>タンイ</t>
    </rPh>
    <phoneticPr fontId="1"/>
  </si>
  <si>
    <t>学術研究基礎</t>
  </si>
  <si>
    <t>課題とイノベーション</t>
    <phoneticPr fontId="1"/>
  </si>
  <si>
    <t>共創のための数学</t>
    <phoneticPr fontId="1"/>
  </si>
  <si>
    <t>システム科学基礎</t>
    <phoneticPr fontId="1"/>
  </si>
  <si>
    <t xml:space="preserve">共創基礎プロジェクト </t>
    <phoneticPr fontId="1"/>
  </si>
  <si>
    <t xml:space="preserve">共創プロジェクト </t>
  </si>
  <si>
    <t>（2023年度入学者用）</t>
    <rPh sb="5" eb="7">
      <t>ネンド</t>
    </rPh>
    <rPh sb="7" eb="10">
      <t>ニュウガクシャ</t>
    </rPh>
    <rPh sb="10" eb="11">
      <t>ヨウ</t>
    </rPh>
    <phoneticPr fontId="1"/>
  </si>
  <si>
    <t>基幹教育科目その他（必修：８．５単位）</t>
    <rPh sb="0" eb="2">
      <t>キカン</t>
    </rPh>
    <rPh sb="2" eb="4">
      <t>キョウイク</t>
    </rPh>
    <rPh sb="4" eb="6">
      <t>カモク</t>
    </rPh>
    <rPh sb="10" eb="12">
      <t>ヒッシュウ</t>
    </rPh>
    <phoneticPr fontId="1"/>
  </si>
  <si>
    <t>専攻教育科目その他（必修：１２単位）</t>
    <rPh sb="0" eb="2">
      <t>センコウ</t>
    </rPh>
    <rPh sb="2" eb="4">
      <t>キョウイク</t>
    </rPh>
    <rPh sb="4" eb="6">
      <t>カモク</t>
    </rPh>
    <rPh sb="10" eb="12">
      <t>ヒッシュウ</t>
    </rPh>
    <phoneticPr fontId="1"/>
  </si>
  <si>
    <t>共創科目（必修：１９単位）</t>
    <rPh sb="0" eb="2">
      <t>キョウソウ</t>
    </rPh>
    <rPh sb="2" eb="4">
      <t>カモク</t>
    </rPh>
    <rPh sb="5" eb="7">
      <t>ヒッシュウ</t>
    </rPh>
    <rPh sb="10" eb="12">
      <t>タンイ</t>
    </rPh>
    <phoneticPr fontId="1"/>
  </si>
  <si>
    <t>共創発展演習１</t>
    <rPh sb="0" eb="2">
      <t>キョウソウ</t>
    </rPh>
    <rPh sb="2" eb="4">
      <t>ハッテン</t>
    </rPh>
    <rPh sb="4" eb="6">
      <t>エンシュウ</t>
    </rPh>
    <phoneticPr fontId="1"/>
  </si>
  <si>
    <t>（あ）＋（い）＋（う）＋（え）
＋（お）＋（か）+（き）＋（く）＝</t>
    <phoneticPr fontId="1"/>
  </si>
  <si>
    <t>共創基礎科目（必修：７単位）</t>
    <rPh sb="0" eb="2">
      <t>キョウソウ</t>
    </rPh>
    <rPh sb="2" eb="4">
      <t>キソ</t>
    </rPh>
    <rPh sb="4" eb="6">
      <t>カモク</t>
    </rPh>
    <rPh sb="7" eb="9">
      <t>ヒッシュウ</t>
    </rPh>
    <rPh sb="11" eb="13">
      <t>タンイ</t>
    </rPh>
    <phoneticPr fontId="1"/>
  </si>
  <si>
    <t>構想科目（必修：２８単位）</t>
    <rPh sb="0" eb="2">
      <t>コウソウ</t>
    </rPh>
    <rPh sb="2" eb="4">
      <t>カモク</t>
    </rPh>
    <rPh sb="5" eb="7">
      <t>ヒッシュウ</t>
    </rPh>
    <rPh sb="10" eb="12">
      <t>タンイ</t>
    </rPh>
    <phoneticPr fontId="1"/>
  </si>
  <si>
    <t>その他(Ｄ）</t>
    <phoneticPr fontId="1"/>
  </si>
  <si>
    <t>合計</t>
    <rPh sb="0" eb="2">
      <t>ゴウケイ</t>
    </rPh>
    <phoneticPr fontId="1"/>
  </si>
  <si>
    <t>その他(F）</t>
    <phoneticPr fontId="1"/>
  </si>
  <si>
    <t>その他(E）</t>
    <phoneticPr fontId="1"/>
  </si>
  <si>
    <t>その他(い）</t>
    <phoneticPr fontId="1"/>
  </si>
  <si>
    <t>/12単位</t>
    <phoneticPr fontId="1"/>
  </si>
  <si>
    <t xml:space="preserve">
/8単位</t>
    <phoneticPr fontId="1"/>
  </si>
  <si>
    <t xml:space="preserve">
/4単位</t>
    <phoneticPr fontId="1"/>
  </si>
  <si>
    <t xml:space="preserve">
/6単位</t>
    <rPh sb="3" eb="5">
      <t>タンイ</t>
    </rPh>
    <phoneticPr fontId="1"/>
  </si>
  <si>
    <t>情報科学</t>
    <phoneticPr fontId="1"/>
  </si>
  <si>
    <t xml:space="preserve">プログラミング演習 </t>
    <phoneticPr fontId="1"/>
  </si>
  <si>
    <t>Intensive English: Global Issues RW 1</t>
    <phoneticPr fontId="1"/>
  </si>
  <si>
    <t>Intensive English: Global Issues LS 1</t>
    <phoneticPr fontId="1"/>
  </si>
  <si>
    <t>Intensive English: Academic Issues 1</t>
    <phoneticPr fontId="1"/>
  </si>
  <si>
    <t>Intensive English: Global Issues RW 2</t>
    <phoneticPr fontId="1"/>
  </si>
  <si>
    <t>Intensive English: Global Issues LS 2</t>
    <phoneticPr fontId="1"/>
  </si>
  <si>
    <t>Intensive English: Academic Issues 2</t>
    <phoneticPr fontId="1"/>
  </si>
  <si>
    <t>Intensive English: Japanese Issues 1</t>
    <phoneticPr fontId="1"/>
  </si>
  <si>
    <t>Intensive English: Academic Issues 3</t>
    <phoneticPr fontId="1"/>
  </si>
  <si>
    <t>Intensive English: Japanese Issues 2</t>
    <phoneticPr fontId="1"/>
  </si>
  <si>
    <t>Intensive English: Academic Issues 4</t>
    <phoneticPr fontId="1"/>
  </si>
  <si>
    <t>健康・スポーツ科学演習</t>
    <rPh sb="0" eb="2">
      <t>ケンコウ</t>
    </rPh>
    <rPh sb="7" eb="9">
      <t>カガク</t>
    </rPh>
    <rPh sb="9" eb="11">
      <t>エンシュウ</t>
    </rPh>
    <phoneticPr fontId="1"/>
  </si>
  <si>
    <t>サイバーセキュリティ基礎論</t>
    <rPh sb="10" eb="12">
      <t>キソ</t>
    </rPh>
    <rPh sb="12" eb="13">
      <t>ロン</t>
    </rPh>
    <phoneticPr fontId="1"/>
  </si>
  <si>
    <t>その他（Ａ）計</t>
    <rPh sb="2" eb="3">
      <t>ホカ</t>
    </rPh>
    <rPh sb="6" eb="7">
      <t>ケイ</t>
    </rPh>
    <phoneticPr fontId="1"/>
  </si>
  <si>
    <t>単位</t>
    <phoneticPr fontId="1"/>
  </si>
  <si>
    <t>単位</t>
    <rPh sb="0" eb="2">
      <t>タンイ</t>
    </rPh>
    <phoneticPr fontId="1"/>
  </si>
  <si>
    <t>/8単位</t>
    <rPh sb="2" eb="4">
      <t>タンイ</t>
    </rPh>
    <phoneticPr fontId="1"/>
  </si>
  <si>
    <t>/12単位</t>
    <phoneticPr fontId="1"/>
  </si>
  <si>
    <t>/2単位</t>
    <phoneticPr fontId="1"/>
  </si>
  <si>
    <t>/10単位</t>
    <phoneticPr fontId="1"/>
  </si>
  <si>
    <t>/4単位</t>
    <phoneticPr fontId="1"/>
  </si>
  <si>
    <t>その他（B）計</t>
    <phoneticPr fontId="1"/>
  </si>
  <si>
    <t>その他（あ）計</t>
    <phoneticPr fontId="1"/>
  </si>
  <si>
    <t>その他（C）計</t>
    <phoneticPr fontId="1"/>
  </si>
  <si>
    <t>基幹教育セミナー</t>
    <rPh sb="0" eb="2">
      <t>キカン</t>
    </rPh>
    <rPh sb="2" eb="4">
      <t>キョウイク</t>
    </rPh>
    <phoneticPr fontId="1"/>
  </si>
  <si>
    <t>課題協学科目</t>
    <rPh sb="0" eb="2">
      <t>カダイ</t>
    </rPh>
    <rPh sb="2" eb="4">
      <t>キョウガク</t>
    </rPh>
    <rPh sb="4" eb="6">
      <t>カモク</t>
    </rPh>
    <phoneticPr fontId="1"/>
  </si>
  <si>
    <t>データの収集・分析</t>
  </si>
  <si>
    <t>世界の様々な哲学</t>
  </si>
  <si>
    <t>世界を理解するための歴史的視座</t>
  </si>
  <si>
    <t>その他(う）</t>
    <phoneticPr fontId="1"/>
  </si>
  <si>
    <t>その他(え）</t>
    <phoneticPr fontId="1"/>
  </si>
  <si>
    <t>学術英語（必修：２単位）</t>
    <rPh sb="5" eb="7">
      <t>ヒッシュウ</t>
    </rPh>
    <rPh sb="9" eb="11">
      <t>タンイ</t>
    </rPh>
    <phoneticPr fontId="1"/>
  </si>
  <si>
    <t>第２外国語（必修：４単位）</t>
    <rPh sb="0" eb="1">
      <t>ダイ</t>
    </rPh>
    <rPh sb="2" eb="5">
      <t>ガイコクゴ</t>
    </rPh>
    <phoneticPr fontId="1"/>
  </si>
  <si>
    <t>その他(Ｄ）計</t>
    <rPh sb="6" eb="7">
      <t>ケイ</t>
    </rPh>
    <phoneticPr fontId="1"/>
  </si>
  <si>
    <t>その他(い）計</t>
    <rPh sb="6" eb="7">
      <t>ケイ</t>
    </rPh>
    <phoneticPr fontId="1"/>
  </si>
  <si>
    <t>その他(E）計</t>
    <rPh sb="6" eb="7">
      <t>ケイ</t>
    </rPh>
    <phoneticPr fontId="1"/>
  </si>
  <si>
    <t>その他(う）計</t>
    <rPh sb="6" eb="7">
      <t>ケイ</t>
    </rPh>
    <phoneticPr fontId="1"/>
  </si>
  <si>
    <t>その他(F）計</t>
    <rPh sb="6" eb="7">
      <t>ケイ</t>
    </rPh>
    <phoneticPr fontId="1"/>
  </si>
  <si>
    <t>その他(え）計</t>
    <rPh sb="6" eb="7">
      <t>ケイ</t>
    </rPh>
    <phoneticPr fontId="1"/>
  </si>
  <si>
    <t>他学部専攻教育科目　※10単位まで卒業要件に含むことができる。</t>
    <phoneticPr fontId="1"/>
  </si>
  <si>
    <t>氏名：</t>
    <rPh sb="0" eb="2">
      <t>シメイ</t>
    </rPh>
    <phoneticPr fontId="1"/>
  </si>
  <si>
    <t>学生番号：</t>
    <rPh sb="0" eb="2">
      <t>ガクセイ</t>
    </rPh>
    <rPh sb="2" eb="4">
      <t>バンゴウ</t>
    </rPh>
    <phoneticPr fontId="1"/>
  </si>
  <si>
    <t>チェック日：</t>
    <rPh sb="4" eb="5">
      <t>ビ</t>
    </rPh>
    <phoneticPr fontId="1"/>
  </si>
  <si>
    <t>単位/2単位</t>
    <rPh sb="0" eb="2">
      <t>タンイ</t>
    </rPh>
    <phoneticPr fontId="1"/>
  </si>
  <si>
    <t>/7単位</t>
    <phoneticPr fontId="1"/>
  </si>
  <si>
    <t>/2単位</t>
    <rPh sb="2" eb="4">
      <t>タンイ</t>
    </rPh>
    <phoneticPr fontId="1"/>
  </si>
  <si>
    <t>/2単位</t>
    <rPh sb="2" eb="4">
      <t>タンイ</t>
    </rPh>
    <phoneticPr fontId="1"/>
  </si>
  <si>
    <t>異文化対応 ２</t>
    <phoneticPr fontId="1"/>
  </si>
  <si>
    <t>ディグリープロジェクト３</t>
    <phoneticPr fontId="1"/>
  </si>
  <si>
    <t>（同一名称の科目の履修制限等の詳細は2023年度入学者用「学生の手引」を参照のこと。）</t>
    <rPh sb="1" eb="3">
      <t>ドウイツ</t>
    </rPh>
    <rPh sb="3" eb="5">
      <t>メイショウ</t>
    </rPh>
    <rPh sb="6" eb="8">
      <t>カモク</t>
    </rPh>
    <phoneticPr fontId="1"/>
  </si>
  <si>
    <t>課題科目</t>
    <rPh sb="0" eb="2">
      <t>カダイ</t>
    </rPh>
    <rPh sb="2" eb="4">
      <t>カモク</t>
    </rPh>
    <phoneticPr fontId="1"/>
  </si>
  <si>
    <t>/9単位</t>
    <phoneticPr fontId="1"/>
  </si>
  <si>
    <t>/6単位</t>
    <phoneticPr fontId="1"/>
  </si>
  <si>
    <t>その他(か)計</t>
    <rPh sb="6" eb="7">
      <t>ケイ</t>
    </rPh>
    <phoneticPr fontId="1"/>
  </si>
  <si>
    <t>その他(お)計</t>
    <rPh sb="6" eb="7">
      <t>ケイ</t>
    </rPh>
    <phoneticPr fontId="1"/>
  </si>
  <si>
    <t>その他(き)計</t>
    <rPh sb="6" eb="7">
      <t>ケイ</t>
    </rPh>
    <phoneticPr fontId="1"/>
  </si>
  <si>
    <t>その他(く)計</t>
    <rPh sb="6" eb="7">
      <t>ケイ</t>
    </rPh>
    <phoneticPr fontId="1"/>
  </si>
  <si>
    <t>レクチャーシリーズ　※15スタンプ取得後、最終課題提出必須</t>
    <rPh sb="19" eb="20">
      <t>ノチ</t>
    </rPh>
    <rPh sb="21" eb="23">
      <t>サイシュウ</t>
    </rPh>
    <rPh sb="25" eb="27">
      <t>テイシュツ</t>
    </rPh>
    <rPh sb="27" eb="29">
      <t>ヒッス</t>
    </rPh>
    <phoneticPr fontId="1"/>
  </si>
  <si>
    <t>　　/15］</t>
  </si>
  <si>
    <t>/26単位</t>
    <rPh sb="3" eb="5">
      <t>タンイ</t>
    </rPh>
    <phoneticPr fontId="1"/>
  </si>
  <si>
    <t>/8.5単位</t>
    <phoneticPr fontId="1"/>
  </si>
  <si>
    <t>卒業までの必要単位数</t>
    <rPh sb="0" eb="2">
      <t>ソツギョウ</t>
    </rPh>
    <rPh sb="5" eb="7">
      <t>ヒツヨウ</t>
    </rPh>
    <rPh sb="7" eb="9">
      <t>タンイ</t>
    </rPh>
    <rPh sb="9" eb="10">
      <t>スウ</t>
    </rPh>
    <phoneticPr fontId="1"/>
  </si>
  <si>
    <t>□＝チェック欄（取得済みはチェック）</t>
    <rPh sb="6" eb="7">
      <t>ラン</t>
    </rPh>
    <rPh sb="8" eb="10">
      <t>シュトク</t>
    </rPh>
    <rPh sb="10" eb="11">
      <t>ズ</t>
    </rPh>
    <phoneticPr fontId="1"/>
  </si>
  <si>
    <t>基幹教育セミナー</t>
    <rPh sb="0" eb="4">
      <t>キカンキョウイク</t>
    </rPh>
    <phoneticPr fontId="1"/>
  </si>
  <si>
    <t>課題教学科目</t>
    <rPh sb="0" eb="4">
      <t>カダイキョウガク</t>
    </rPh>
    <rPh sb="4" eb="6">
      <t>カモク</t>
    </rPh>
    <phoneticPr fontId="1"/>
  </si>
  <si>
    <t>文系ディシプリン</t>
    <rPh sb="0" eb="2">
      <t>ブンケイ</t>
    </rPh>
    <phoneticPr fontId="1"/>
  </si>
  <si>
    <t>理系ディシプリン</t>
    <rPh sb="0" eb="2">
      <t>リケイ</t>
    </rPh>
    <phoneticPr fontId="1"/>
  </si>
  <si>
    <t>第2外国語</t>
    <rPh sb="0" eb="1">
      <t>ダイ</t>
    </rPh>
    <rPh sb="2" eb="5">
      <t>ガイコクゴ</t>
    </rPh>
    <phoneticPr fontId="1"/>
  </si>
  <si>
    <t>健康・スポーツ科目</t>
    <rPh sb="0" eb="2">
      <t>ケンコウ</t>
    </rPh>
    <rPh sb="7" eb="9">
      <t>カモク</t>
    </rPh>
    <phoneticPr fontId="1"/>
  </si>
  <si>
    <t>高年次基幹教育科目</t>
    <rPh sb="0" eb="3">
      <t>コウネンジ</t>
    </rPh>
    <rPh sb="3" eb="7">
      <t>キカンキョウイク</t>
    </rPh>
    <rPh sb="7" eb="9">
      <t>カモク</t>
    </rPh>
    <phoneticPr fontId="1"/>
  </si>
  <si>
    <t>共創基礎科目</t>
    <rPh sb="0" eb="2">
      <t>キョウソウ</t>
    </rPh>
    <rPh sb="2" eb="6">
      <t>キソカモク</t>
    </rPh>
    <phoneticPr fontId="1"/>
  </si>
  <si>
    <t>課題とイノベーション</t>
  </si>
  <si>
    <t>共創のための数学</t>
  </si>
  <si>
    <t>システム科学基礎</t>
  </si>
  <si>
    <t>構想科目</t>
    <rPh sb="0" eb="2">
      <t>コウソウ</t>
    </rPh>
    <rPh sb="2" eb="4">
      <t>カモク</t>
    </rPh>
    <phoneticPr fontId="1"/>
  </si>
  <si>
    <t>レクチャーシリーズ</t>
    <phoneticPr fontId="1"/>
  </si>
  <si>
    <t>協働科目</t>
    <rPh sb="0" eb="2">
      <t>キョウドウ</t>
    </rPh>
    <rPh sb="2" eb="4">
      <t>カモク</t>
    </rPh>
    <phoneticPr fontId="1"/>
  </si>
  <si>
    <t>共創基礎プロジェクト</t>
    <rPh sb="0" eb="2">
      <t>キョウソウ</t>
    </rPh>
    <rPh sb="2" eb="4">
      <t>キソ</t>
    </rPh>
    <phoneticPr fontId="1"/>
  </si>
  <si>
    <t>共創プロジェクト</t>
    <rPh sb="0" eb="2">
      <t>キョウソウ</t>
    </rPh>
    <phoneticPr fontId="1"/>
  </si>
  <si>
    <t>経験科目</t>
    <rPh sb="0" eb="2">
      <t>ケイケン</t>
    </rPh>
    <rPh sb="2" eb="4">
      <t>カモク</t>
    </rPh>
    <phoneticPr fontId="1"/>
  </si>
  <si>
    <t>異文化対応１</t>
    <rPh sb="0" eb="5">
      <t>イブンカタイオウ</t>
    </rPh>
    <phoneticPr fontId="1"/>
  </si>
  <si>
    <t>異文化対応２</t>
    <rPh sb="0" eb="5">
      <t>イブンカタイオウ</t>
    </rPh>
    <phoneticPr fontId="1"/>
  </si>
  <si>
    <t>共創科目</t>
    <rPh sb="0" eb="4">
      <t>キョウソウカモク</t>
    </rPh>
    <phoneticPr fontId="1"/>
  </si>
  <si>
    <t>共創発展演習１</t>
    <rPh sb="0" eb="4">
      <t>キョウソウハッテン</t>
    </rPh>
    <rPh sb="4" eb="6">
      <t>エンシュウ</t>
    </rPh>
    <phoneticPr fontId="1"/>
  </si>
  <si>
    <t>共創発展演習２</t>
    <rPh sb="0" eb="4">
      <t>キョウソウハッテン</t>
    </rPh>
    <rPh sb="4" eb="6">
      <t>エンシュウ</t>
    </rPh>
    <phoneticPr fontId="1"/>
  </si>
  <si>
    <t>単位数</t>
    <rPh sb="0" eb="2">
      <t>タンイ</t>
    </rPh>
    <rPh sb="2" eb="3">
      <t>スウ</t>
    </rPh>
    <phoneticPr fontId="1"/>
  </si>
  <si>
    <t>情報科学</t>
    <rPh sb="0" eb="4">
      <t>ジョウホウカガク</t>
    </rPh>
    <phoneticPr fontId="1"/>
  </si>
  <si>
    <t>プログラミング演習</t>
    <rPh sb="7" eb="9">
      <t>エンシュウ</t>
    </rPh>
    <phoneticPr fontId="1"/>
  </si>
  <si>
    <t>区分</t>
    <rPh sb="0" eb="2">
      <t>クブン</t>
    </rPh>
    <phoneticPr fontId="1"/>
  </si>
  <si>
    <t>科目名</t>
    <rPh sb="0" eb="3">
      <t>カモクメイ</t>
    </rPh>
    <phoneticPr fontId="1"/>
  </si>
  <si>
    <t>言語文化科目</t>
    <rPh sb="0" eb="4">
      <t>ゲンゴブンカ</t>
    </rPh>
    <rPh sb="4" eb="6">
      <t>カモク</t>
    </rPh>
    <phoneticPr fontId="1"/>
  </si>
  <si>
    <t>Intensive English: Global Issues RW 1</t>
  </si>
  <si>
    <t>Intensive English: Global Issues LS 1</t>
  </si>
  <si>
    <t>Intensive English: Academic Issues 1</t>
  </si>
  <si>
    <t>Intensive English: Global Issues RW 2</t>
  </si>
  <si>
    <t>Intensive English: Global Issues LS 2</t>
  </si>
  <si>
    <t>Intensive English: Academic Issues 2</t>
  </si>
  <si>
    <t>Intensive English: Japanese Issues 1</t>
  </si>
  <si>
    <t>Intensive English: Japanese Issues 2</t>
  </si>
  <si>
    <t>Intensive English: Academic Issues 4</t>
  </si>
  <si>
    <t>修得したら「✓」</t>
    <rPh sb="0" eb="2">
      <t>シュウトク</t>
    </rPh>
    <phoneticPr fontId="1"/>
  </si>
  <si>
    <t>学術英語</t>
    <rPh sb="0" eb="4">
      <t>ガクジュツエイゴ</t>
    </rPh>
    <phoneticPr fontId="1"/>
  </si>
  <si>
    <t>サイバーセキュリティ科目</t>
    <rPh sb="10" eb="12">
      <t>カモク</t>
    </rPh>
    <phoneticPr fontId="1"/>
  </si>
  <si>
    <t>ディグリープロジェクト</t>
    <phoneticPr fontId="1"/>
  </si>
  <si>
    <t>共創発展演習</t>
    <rPh sb="0" eb="4">
      <t>キョウソウハッテン</t>
    </rPh>
    <rPh sb="4" eb="6">
      <t>エンシュウ</t>
    </rPh>
    <phoneticPr fontId="1"/>
  </si>
  <si>
    <t>課題科目</t>
    <rPh sb="0" eb="4">
      <t>カダイカモク</t>
    </rPh>
    <phoneticPr fontId="1"/>
  </si>
  <si>
    <t>その他
(基幹教育)</t>
    <rPh sb="2" eb="3">
      <t>タ</t>
    </rPh>
    <rPh sb="5" eb="9">
      <t>キカンキョウイク</t>
    </rPh>
    <phoneticPr fontId="1"/>
  </si>
  <si>
    <t>その他
(共創学部)</t>
    <rPh sb="2" eb="3">
      <t>タ</t>
    </rPh>
    <rPh sb="5" eb="9">
      <t>キョウソウガクブ</t>
    </rPh>
    <phoneticPr fontId="1"/>
  </si>
  <si>
    <t>科目区分</t>
    <rPh sb="0" eb="2">
      <t>カモク</t>
    </rPh>
    <rPh sb="2" eb="4">
      <t>クブン</t>
    </rPh>
    <phoneticPr fontId="1"/>
  </si>
  <si>
    <t>サイバーセキュリティ基礎論</t>
    <rPh sb="10" eb="13">
      <t>キソロン</t>
    </rPh>
    <phoneticPr fontId="1"/>
  </si>
  <si>
    <t>人文・社会分野（系）</t>
    <rPh sb="0" eb="2">
      <t>ジンブン</t>
    </rPh>
    <rPh sb="3" eb="5">
      <t>シャカイ</t>
    </rPh>
    <rPh sb="5" eb="7">
      <t>ブンヤ</t>
    </rPh>
    <rPh sb="8" eb="9">
      <t>ケイ</t>
    </rPh>
    <phoneticPr fontId="1"/>
  </si>
  <si>
    <t>自然科学分野（系）</t>
    <rPh sb="0" eb="4">
      <t>シゼンカガク</t>
    </rPh>
    <rPh sb="4" eb="6">
      <t>ブンヤ</t>
    </rPh>
    <rPh sb="7" eb="8">
      <t>ケイ</t>
    </rPh>
    <phoneticPr fontId="1"/>
  </si>
  <si>
    <t>学際分野（系）</t>
    <rPh sb="0" eb="2">
      <t>ガクサイ</t>
    </rPh>
    <rPh sb="2" eb="4">
      <t>ブンヤ</t>
    </rPh>
    <rPh sb="5" eb="6">
      <t>ケイ</t>
    </rPh>
    <phoneticPr fontId="1"/>
  </si>
  <si>
    <t>最低修得単位数</t>
    <rPh sb="0" eb="2">
      <t>サイテイ</t>
    </rPh>
    <rPh sb="2" eb="4">
      <t>シュウトク</t>
    </rPh>
    <rPh sb="4" eb="6">
      <t>タンイ</t>
    </rPh>
    <rPh sb="6" eb="7">
      <t>スウ</t>
    </rPh>
    <phoneticPr fontId="1"/>
  </si>
  <si>
    <t>Ⅰ．基幹教育科目（48単位）</t>
    <rPh sb="2" eb="6">
      <t>キカンキョウイク</t>
    </rPh>
    <rPh sb="6" eb="8">
      <t>カモク</t>
    </rPh>
    <rPh sb="11" eb="13">
      <t>タンイ</t>
    </rPh>
    <phoneticPr fontId="1"/>
  </si>
  <si>
    <t>Ⅱ. 共創学部専攻教育科目（76単位）</t>
    <rPh sb="3" eb="7">
      <t>キョウソウガクブ</t>
    </rPh>
    <rPh sb="7" eb="11">
      <t>センコウキョウイク</t>
    </rPh>
    <rPh sb="11" eb="13">
      <t>カモク</t>
    </rPh>
    <rPh sb="16" eb="18">
      <t>タンイ</t>
    </rPh>
    <phoneticPr fontId="1"/>
  </si>
  <si>
    <t>学生番号</t>
    <rPh sb="0" eb="4">
      <t>ガクセイバンゴウ</t>
    </rPh>
    <phoneticPr fontId="1"/>
  </si>
  <si>
    <t>氏名</t>
    <rPh sb="0" eb="2">
      <t>シメイ</t>
    </rPh>
    <phoneticPr fontId="1"/>
  </si>
  <si>
    <t>チェック日</t>
    <rPh sb="4" eb="5">
      <t>ビ</t>
    </rPh>
    <phoneticPr fontId="1"/>
  </si>
  <si>
    <t>卒業要件のチェック</t>
    <rPh sb="0" eb="4">
      <t>ソツギョウヨウケン</t>
    </rPh>
    <phoneticPr fontId="1"/>
  </si>
  <si>
    <t>各分野2単位を超えて修得した単位</t>
    <rPh sb="0" eb="1">
      <t>カク</t>
    </rPh>
    <rPh sb="1" eb="3">
      <t>ブンヤ</t>
    </rPh>
    <rPh sb="4" eb="6">
      <t>タンイ</t>
    </rPh>
    <rPh sb="7" eb="8">
      <t>コ</t>
    </rPh>
    <rPh sb="10" eb="12">
      <t>シュウトク</t>
    </rPh>
    <rPh sb="14" eb="16">
      <t>タンイ</t>
    </rPh>
    <phoneticPr fontId="1"/>
  </si>
  <si>
    <t>その他（お）</t>
    <rPh sb="2" eb="3">
      <t>タ</t>
    </rPh>
    <phoneticPr fontId="1"/>
  </si>
  <si>
    <t>その他（え）</t>
    <rPh sb="2" eb="3">
      <t>タ</t>
    </rPh>
    <phoneticPr fontId="1"/>
  </si>
  <si>
    <t>その他（か）</t>
    <rPh sb="2" eb="3">
      <t>タ</t>
    </rPh>
    <phoneticPr fontId="1"/>
  </si>
  <si>
    <t>その他（き）</t>
    <rPh sb="2" eb="3">
      <t>タ</t>
    </rPh>
    <phoneticPr fontId="1"/>
  </si>
  <si>
    <t>その他（う）</t>
  </si>
  <si>
    <t>その他（E）</t>
    <rPh sb="2" eb="3">
      <t>タ</t>
    </rPh>
    <phoneticPr fontId="1"/>
  </si>
  <si>
    <t>その他（D）</t>
    <rPh sb="2" eb="3">
      <t>タ</t>
    </rPh>
    <phoneticPr fontId="1"/>
  </si>
  <si>
    <t>その他（い）</t>
    <phoneticPr fontId="1"/>
  </si>
  <si>
    <t>その他（あ）</t>
    <phoneticPr fontId="1"/>
  </si>
  <si>
    <t>その他（Ｂ）</t>
    <phoneticPr fontId="1"/>
  </si>
  <si>
    <t>その他（Ａ）</t>
    <phoneticPr fontId="1"/>
  </si>
  <si>
    <t>必修単位数を超えて修得した科目</t>
    <rPh sb="0" eb="2">
      <t>ヒッシュウ</t>
    </rPh>
    <rPh sb="2" eb="5">
      <t>タンイスウ</t>
    </rPh>
    <rPh sb="6" eb="7">
      <t>コ</t>
    </rPh>
    <rPh sb="9" eb="11">
      <t>シュウトク</t>
    </rPh>
    <rPh sb="13" eb="15">
      <t>カモク</t>
    </rPh>
    <phoneticPr fontId="1"/>
  </si>
  <si>
    <t>必修単位数を超えて修得した科目</t>
    <phoneticPr fontId="1"/>
  </si>
  <si>
    <t>その他（C）</t>
    <phoneticPr fontId="1"/>
  </si>
  <si>
    <t>その他（F）</t>
    <phoneticPr fontId="1"/>
  </si>
  <si>
    <t>その他（く）</t>
    <rPh sb="2" eb="3">
      <t>タ</t>
    </rPh>
    <phoneticPr fontId="1"/>
  </si>
  <si>
    <t>ドイツ語</t>
    <rPh sb="3" eb="4">
      <t>ゴ</t>
    </rPh>
    <phoneticPr fontId="1"/>
  </si>
  <si>
    <t>フランス語</t>
    <rPh sb="4" eb="5">
      <t>ゴ</t>
    </rPh>
    <phoneticPr fontId="1"/>
  </si>
  <si>
    <t>中国語</t>
    <rPh sb="0" eb="3">
      <t>チュウゴクゴ</t>
    </rPh>
    <phoneticPr fontId="1"/>
  </si>
  <si>
    <t>ロシア語</t>
    <rPh sb="3" eb="4">
      <t>ゴ</t>
    </rPh>
    <phoneticPr fontId="1"/>
  </si>
  <si>
    <t>韓国語</t>
    <rPh sb="0" eb="3">
      <t>カンコクゴ</t>
    </rPh>
    <phoneticPr fontId="1"/>
  </si>
  <si>
    <t>スペイン語</t>
    <rPh sb="4" eb="5">
      <t>ゴ</t>
    </rPh>
    <phoneticPr fontId="1"/>
  </si>
  <si>
    <t>日本語</t>
    <rPh sb="0" eb="3">
      <t>ニホンゴ</t>
    </rPh>
    <phoneticPr fontId="1"/>
  </si>
  <si>
    <t>英語</t>
    <rPh sb="0" eb="2">
      <t>エイゴ</t>
    </rPh>
    <phoneticPr fontId="1"/>
  </si>
  <si>
    <t>✓</t>
  </si>
  <si>
    <t>総合科目（その他（D)または（い）のどちらかを選択）</t>
    <rPh sb="0" eb="4">
      <t>ソウゴウカモク</t>
    </rPh>
    <rPh sb="7" eb="8">
      <t>タ</t>
    </rPh>
    <rPh sb="23" eb="25">
      <t>センタク</t>
    </rPh>
    <phoneticPr fontId="1"/>
  </si>
  <si>
    <t>必修単位数を超えて修得した科目（その他（E)または（う）のどちらかを選択）</t>
    <phoneticPr fontId="1"/>
  </si>
  <si>
    <t>その他：他学部専攻教育科目（その他（F)または（え）のどちらかを選択）</t>
    <rPh sb="2" eb="3">
      <t>タ</t>
    </rPh>
    <rPh sb="4" eb="7">
      <t>タガクブ</t>
    </rPh>
    <rPh sb="7" eb="9">
      <t>センコウ</t>
    </rPh>
    <rPh sb="9" eb="11">
      <t>キョウイク</t>
    </rPh>
    <rPh sb="11" eb="13">
      <t>カモク</t>
    </rPh>
    <phoneticPr fontId="1"/>
  </si>
  <si>
    <t>（留学生のみ）必修単位数を超えて修得した日本語の単位　※その他（B)に含めていない科目のみ</t>
    <rPh sb="1" eb="4">
      <t>リュウガクセイ</t>
    </rPh>
    <rPh sb="7" eb="9">
      <t>ヒッシュウ</t>
    </rPh>
    <rPh sb="9" eb="12">
      <t>タンイスウ</t>
    </rPh>
    <rPh sb="13" eb="14">
      <t>コ</t>
    </rPh>
    <rPh sb="16" eb="18">
      <t>シュウトク</t>
    </rPh>
    <rPh sb="20" eb="23">
      <t>ニホンゴ</t>
    </rPh>
    <rPh sb="24" eb="26">
      <t>タンイ</t>
    </rPh>
    <rPh sb="30" eb="31">
      <t>タ</t>
    </rPh>
    <rPh sb="35" eb="36">
      <t>フク</t>
    </rPh>
    <rPh sb="41" eb="43">
      <t>カモク</t>
    </rPh>
    <phoneticPr fontId="1"/>
  </si>
  <si>
    <t>第1外国語（日本語）※10月入学生</t>
    <rPh sb="0" eb="1">
      <t>ダイ</t>
    </rPh>
    <rPh sb="2" eb="5">
      <t>ガイコクゴ</t>
    </rPh>
    <rPh sb="6" eb="9">
      <t>ニホンゴ</t>
    </rPh>
    <rPh sb="13" eb="14">
      <t>ガツ</t>
    </rPh>
    <rPh sb="14" eb="17">
      <t>ニュウガクセイ</t>
    </rPh>
    <phoneticPr fontId="1"/>
  </si>
  <si>
    <t>第1外国語（英語）※4月入学生</t>
    <rPh sb="0" eb="1">
      <t>ダイ</t>
    </rPh>
    <rPh sb="2" eb="5">
      <t>ガイコクゴ</t>
    </rPh>
    <rPh sb="6" eb="8">
      <t>エイゴ</t>
    </rPh>
    <rPh sb="11" eb="12">
      <t>ガツ</t>
    </rPh>
    <rPh sb="12" eb="15">
      <t>ニュウガクセイ</t>
    </rPh>
    <phoneticPr fontId="1"/>
  </si>
  <si>
    <t>に入力するとチェック表に反映されます</t>
    <rPh sb="1" eb="3">
      <t>ニュウリョク</t>
    </rPh>
    <rPh sb="10" eb="11">
      <t>ヒョウ</t>
    </rPh>
    <rPh sb="12" eb="14">
      <t>ハンエイ</t>
    </rPh>
    <phoneticPr fontId="1"/>
  </si>
  <si>
    <t>現在までの総修得単位数</t>
    <rPh sb="0" eb="2">
      <t>ゲンザイ</t>
    </rPh>
    <rPh sb="5" eb="6">
      <t>ソウ</t>
    </rPh>
    <rPh sb="6" eb="8">
      <t>シュウトク</t>
    </rPh>
    <rPh sb="8" eb="11">
      <t>タンイスウ</t>
    </rPh>
    <phoneticPr fontId="1"/>
  </si>
  <si>
    <t>単位</t>
    <rPh sb="0" eb="2">
      <t>タンイ</t>
    </rPh>
    <phoneticPr fontId="1"/>
  </si>
  <si>
    <t>（裏面も記入すること）</t>
    <rPh sb="1" eb="3">
      <t>リメン</t>
    </rPh>
    <rPh sb="4" eb="6">
      <t>キニュウ</t>
    </rPh>
    <phoneticPr fontId="1"/>
  </si>
  <si>
    <t>（同一名称科目の履修制限等の詳細は2023年度入学者用「学生の手引」を参照のこと。）</t>
    <phoneticPr fontId="1"/>
  </si>
  <si>
    <t>（同一名称科目の履修制限等の詳細は2023年度入学者用「学生の手引」を参照のこと）</t>
    <rPh sb="1" eb="5">
      <t>ドウイツメイショウ</t>
    </rPh>
    <rPh sb="5" eb="7">
      <t>カモク</t>
    </rPh>
    <rPh sb="8" eb="10">
      <t>リシュウ</t>
    </rPh>
    <rPh sb="10" eb="12">
      <t>セイゲン</t>
    </rPh>
    <rPh sb="12" eb="13">
      <t>トウ</t>
    </rPh>
    <rPh sb="14" eb="16">
      <t>ショウサイ</t>
    </rPh>
    <phoneticPr fontId="1"/>
  </si>
  <si>
    <t>共創学部　卒業要件チェック表（第２面）</t>
    <rPh sb="0" eb="2">
      <t>キョウソウ</t>
    </rPh>
    <rPh sb="2" eb="4">
      <t>ガクブ</t>
    </rPh>
    <rPh sb="5" eb="7">
      <t>ソツギョウ</t>
    </rPh>
    <rPh sb="7" eb="9">
      <t>ヨウケン</t>
    </rPh>
    <rPh sb="13" eb="14">
      <t>ヒョウ</t>
    </rPh>
    <rPh sb="15" eb="16">
      <t>ダイ</t>
    </rPh>
    <rPh sb="17" eb="18">
      <t>メン</t>
    </rPh>
    <phoneticPr fontId="1"/>
  </si>
  <si>
    <t>共創学部　卒業要件チェック表（第１面）</t>
    <rPh sb="0" eb="2">
      <t>キョウソウ</t>
    </rPh>
    <rPh sb="2" eb="4">
      <t>ガクブ</t>
    </rPh>
    <rPh sb="5" eb="7">
      <t>ソツギョウ</t>
    </rPh>
    <rPh sb="7" eb="9">
      <t>ヨウケン</t>
    </rPh>
    <rPh sb="13" eb="14">
      <t>ヒョウ</t>
    </rPh>
    <rPh sb="15" eb="16">
      <t>ダイ</t>
    </rPh>
    <rPh sb="17" eb="18">
      <t>メン</t>
    </rPh>
    <phoneticPr fontId="1"/>
  </si>
  <si>
    <t>（例：2025年秋学期）</t>
    <rPh sb="8" eb="11">
      <t>アキガッキ</t>
    </rPh>
    <phoneticPr fontId="1"/>
  </si>
  <si>
    <t>レクチャーシリーズのスタンプ数
（Moodleで確認すること）</t>
    <rPh sb="14" eb="15">
      <t>スウ</t>
    </rPh>
    <rPh sb="24" eb="26">
      <t>カクニン</t>
    </rPh>
    <phoneticPr fontId="1"/>
  </si>
  <si>
    <t>第2外国語
（母語と第1外国語を除く）</t>
    <rPh sb="0" eb="1">
      <t>ダイ</t>
    </rPh>
    <rPh sb="2" eb="5">
      <t>ガイコクゴ</t>
    </rPh>
    <rPh sb="7" eb="9">
      <t>ボゴ</t>
    </rPh>
    <rPh sb="10" eb="11">
      <t>ダイ</t>
    </rPh>
    <rPh sb="12" eb="15">
      <t>ガイコクゴ</t>
    </rPh>
    <rPh sb="16" eb="17">
      <t>ノゾ</t>
    </rPh>
    <phoneticPr fontId="1"/>
  </si>
  <si>
    <t>「異文化対応２」に対する留学等の実施状況
（リストから選択）</t>
    <rPh sb="1" eb="4">
      <t>イブンカ</t>
    </rPh>
    <rPh sb="4" eb="6">
      <t>タイオウ</t>
    </rPh>
    <rPh sb="9" eb="10">
      <t>タイ</t>
    </rPh>
    <rPh sb="12" eb="14">
      <t>リュウガク</t>
    </rPh>
    <rPh sb="14" eb="15">
      <t>トウ</t>
    </rPh>
    <rPh sb="16" eb="18">
      <t>ジッシ</t>
    </rPh>
    <rPh sb="18" eb="20">
      <t>ジョウキョウ</t>
    </rPh>
    <rPh sb="27" eb="29">
      <t>センタク</t>
    </rPh>
    <phoneticPr fontId="1"/>
  </si>
  <si>
    <t>Intensive English: Academic Issues 3</t>
    <phoneticPr fontId="1"/>
  </si>
  <si>
    <t>共創発展演習２</t>
  </si>
  <si>
    <t>選択言語</t>
    <rPh sb="0" eb="2">
      <t>センタク</t>
    </rPh>
    <rPh sb="2" eb="4">
      <t>ゲンゴ</t>
    </rPh>
    <phoneticPr fontId="1"/>
  </si>
  <si>
    <t>実施済</t>
  </si>
  <si>
    <t>未実施、具体的計画あり（半年以内に出発）</t>
    <phoneticPr fontId="1"/>
  </si>
  <si>
    <t>未実施、具体的計画あり（１年以内に出発）</t>
    <phoneticPr fontId="1"/>
  </si>
  <si>
    <t>未実施、具体的計画なし</t>
    <rPh sb="4" eb="7">
      <t>グタイテキ</t>
    </rPh>
    <phoneticPr fontId="1"/>
  </si>
  <si>
    <t>留学の時期と期間（希望時期）</t>
    <rPh sb="0" eb="2">
      <t>リュウガク</t>
    </rPh>
    <rPh sb="3" eb="5">
      <t>ジキ</t>
    </rPh>
    <rPh sb="6" eb="8">
      <t>キカン</t>
    </rPh>
    <rPh sb="7" eb="8">
      <t>ガッキ</t>
    </rPh>
    <rPh sb="9" eb="11">
      <t>キボウ</t>
    </rPh>
    <rPh sb="11" eb="13">
      <t>ジキ</t>
    </rPh>
    <phoneticPr fontId="1"/>
  </si>
  <si>
    <t>（例：2024年夏休み（希望）、2025年4月～9月（確定）、具体的計画なし）</t>
    <rPh sb="7" eb="8">
      <t>ネン</t>
    </rPh>
    <rPh sb="8" eb="9">
      <t>ナツ</t>
    </rPh>
    <rPh sb="9" eb="10">
      <t>ヤス</t>
    </rPh>
    <rPh sb="12" eb="14">
      <t>キボウ</t>
    </rPh>
    <rPh sb="27" eb="29">
      <t>カクテイ</t>
    </rPh>
    <rPh sb="31" eb="34">
      <t>グタイテキ</t>
    </rPh>
    <rPh sb="34" eb="36">
      <t>ケイカク</t>
    </rPh>
    <phoneticPr fontId="1"/>
  </si>
  <si>
    <t>「異文化対応２」の履修予定時期（留学終了後で春夏秋冬学期のいずれか）</t>
    <rPh sb="1" eb="4">
      <t>イブンカ</t>
    </rPh>
    <rPh sb="4" eb="6">
      <t>タイオウ</t>
    </rPh>
    <rPh sb="9" eb="11">
      <t>リシュウ</t>
    </rPh>
    <rPh sb="11" eb="13">
      <t>ヨテイ</t>
    </rPh>
    <rPh sb="13" eb="15">
      <t>ジキ</t>
    </rPh>
    <rPh sb="16" eb="18">
      <t>リュウガク</t>
    </rPh>
    <rPh sb="18" eb="20">
      <t>シュウリョウ</t>
    </rPh>
    <rPh sb="20" eb="21">
      <t>ゴ</t>
    </rPh>
    <rPh sb="22" eb="26">
      <t>ハルナツアキフユ</t>
    </rPh>
    <rPh sb="26" eb="28">
      <t>ガッキ</t>
    </rPh>
    <phoneticPr fontId="1"/>
  </si>
  <si>
    <t>留学実施状況</t>
    <rPh sb="0" eb="2">
      <t>リュウガク</t>
    </rPh>
    <rPh sb="2" eb="4">
      <t>ジッシ</t>
    </rPh>
    <rPh sb="4" eb="6">
      <t>ジョウキョウ</t>
    </rPh>
    <phoneticPr fontId="1"/>
  </si>
  <si>
    <t>現在のスタンプ数（Moodleで確認）</t>
    <rPh sb="16" eb="18">
      <t>カクニン</t>
    </rPh>
    <phoneticPr fontId="1"/>
  </si>
  <si>
    <t>Checklist for ISI Graduation Requirements（First Page）</t>
    <phoneticPr fontId="1"/>
  </si>
  <si>
    <t>(For Students Enrolled 2023)</t>
    <phoneticPr fontId="1"/>
  </si>
  <si>
    <t>Ⅰ．KIKAN Education Courses (48 Credits)</t>
    <phoneticPr fontId="1"/>
  </si>
  <si>
    <t>□＝Check Box (Check when you earn)</t>
    <phoneticPr fontId="1"/>
  </si>
  <si>
    <t>KIKAN Education Seminar</t>
    <phoneticPr fontId="1"/>
  </si>
  <si>
    <t>Interdisciplinary Collaborative Learning of Social Isues</t>
    <phoneticPr fontId="1"/>
  </si>
  <si>
    <t>Science</t>
    <phoneticPr fontId="1"/>
  </si>
  <si>
    <t>Information Science</t>
    <phoneticPr fontId="1"/>
  </si>
  <si>
    <t xml:space="preserve">Computer Programming Excercise </t>
    <phoneticPr fontId="1"/>
  </si>
  <si>
    <t>Credits</t>
  </si>
  <si>
    <t>Credits</t>
    <phoneticPr fontId="1"/>
  </si>
  <si>
    <t xml:space="preserve">
/8Credits</t>
  </si>
  <si>
    <t xml:space="preserve">
/4Credits</t>
  </si>
  <si>
    <t xml:space="preserve">
/6Credits</t>
    <phoneticPr fontId="1"/>
  </si>
  <si>
    <t xml:space="preserve">Students ID: </t>
  </si>
  <si>
    <t xml:space="preserve">Students Name: </t>
  </si>
  <si>
    <t xml:space="preserve">Date Checked: </t>
  </si>
  <si>
    <t>Intensive English:  Global Issues RW 1</t>
  </si>
  <si>
    <t>Intensive English:  Academic Issues 2</t>
  </si>
  <si>
    <t>Intensive English:  Global Issues LS 1</t>
  </si>
  <si>
    <t>Intensive English:  Japanese Issues 1</t>
  </si>
  <si>
    <t>Intensive English:  Academic Issues 1</t>
  </si>
  <si>
    <t>Intensive English:  Academic Issues 3</t>
  </si>
  <si>
    <t>Intensive English:  Global Issues RW 2</t>
  </si>
  <si>
    <t>Intensive English:  Japanese Issues 2</t>
  </si>
  <si>
    <t>Intensive English:  Global Issues LS 2</t>
  </si>
  <si>
    <t>Intensive English:  Academic Issues 4</t>
  </si>
  <si>
    <t>Others(Ｄ）</t>
  </si>
  <si>
    <t>Others(い）</t>
  </si>
  <si>
    <t>Others(E）</t>
  </si>
  <si>
    <t>Others(う）</t>
  </si>
  <si>
    <t>Others(F）</t>
  </si>
  <si>
    <t>Others(え）</t>
  </si>
  <si>
    <t>Others(Ｄ）</t>
    <phoneticPr fontId="1"/>
  </si>
  <si>
    <t>Others(い）</t>
    <phoneticPr fontId="1"/>
  </si>
  <si>
    <t>Others（Ａ）</t>
    <phoneticPr fontId="1"/>
  </si>
  <si>
    <t>Others(E）</t>
    <phoneticPr fontId="1"/>
  </si>
  <si>
    <t>Others(う）</t>
    <phoneticPr fontId="1"/>
  </si>
  <si>
    <t>Others(F）</t>
    <phoneticPr fontId="1"/>
  </si>
  <si>
    <t>Others(え）</t>
    <phoneticPr fontId="1"/>
  </si>
  <si>
    <t>Others（B）</t>
  </si>
  <si>
    <t>Others（あ）</t>
  </si>
  <si>
    <t>Others（C）</t>
  </si>
  <si>
    <t>Others(お)</t>
    <phoneticPr fontId="1"/>
  </si>
  <si>
    <t>Others(か)</t>
    <phoneticPr fontId="1"/>
  </si>
  <si>
    <t>Others(き)</t>
    <phoneticPr fontId="1"/>
  </si>
  <si>
    <t>Others(く)</t>
    <phoneticPr fontId="1"/>
  </si>
  <si>
    <t>1 Credits</t>
    <phoneticPr fontId="1"/>
  </si>
  <si>
    <t>2.5 Credits</t>
    <phoneticPr fontId="1"/>
  </si>
  <si>
    <t>/8 Credits</t>
    <phoneticPr fontId="1"/>
  </si>
  <si>
    <t xml:space="preserve">Project for ISI </t>
  </si>
  <si>
    <t xml:space="preserve">Basic Project for ISI </t>
  </si>
  <si>
    <t>Cross-Cultural Adjustment  1</t>
  </si>
  <si>
    <t>Cross-Cultural Adjustment  ２</t>
  </si>
  <si>
    <t>Checklist for ISI Graduation Requirements（Second Page）</t>
    <phoneticPr fontId="1"/>
  </si>
  <si>
    <t>/10 Credits</t>
    <phoneticPr fontId="1"/>
  </si>
  <si>
    <t>/2 Credits</t>
    <phoneticPr fontId="1"/>
  </si>
  <si>
    <t>/12 Credits</t>
    <phoneticPr fontId="1"/>
  </si>
  <si>
    <t>/4 Credits</t>
    <phoneticPr fontId="1"/>
  </si>
  <si>
    <t xml:space="preserve">First Foreign Language (Japanese)　※Students enrolled in October only </t>
    <phoneticPr fontId="1"/>
  </si>
  <si>
    <t>Primary Course of Cyber Security</t>
    <phoneticPr fontId="1"/>
  </si>
  <si>
    <t>Laboratory of Health and Sport Science</t>
    <phoneticPr fontId="1"/>
  </si>
  <si>
    <t>General Courses</t>
    <phoneticPr fontId="1"/>
  </si>
  <si>
    <t>Specialized Courses of other departments ※Up to 10 Credits</t>
    <phoneticPr fontId="1"/>
  </si>
  <si>
    <t>Ⅱ．Specialized Courses (76 Credits)</t>
    <phoneticPr fontId="1"/>
  </si>
  <si>
    <t>Total Number of Credits earned</t>
    <phoneticPr fontId="1"/>
  </si>
  <si>
    <t>Rest of the Number of Credits required for Graduation</t>
    <phoneticPr fontId="1"/>
  </si>
  <si>
    <t>(Go on to the next page)</t>
    <phoneticPr fontId="1"/>
  </si>
  <si>
    <t>Basic Academic Research</t>
  </si>
  <si>
    <t>Issue and Innovation</t>
  </si>
  <si>
    <t>Math for ISI</t>
  </si>
  <si>
    <t>Basic System Science</t>
  </si>
  <si>
    <t>Data Collection and Analysis</t>
  </si>
  <si>
    <t>World Philosophies</t>
  </si>
  <si>
    <t>Historical Perspective of the World</t>
  </si>
  <si>
    <t>Issue-based Subjects</t>
    <phoneticPr fontId="1"/>
  </si>
  <si>
    <t>　　/15</t>
    <phoneticPr fontId="1"/>
  </si>
  <si>
    <t>Degree Project 1</t>
    <phoneticPr fontId="1"/>
  </si>
  <si>
    <t>Degree Project 2</t>
    <phoneticPr fontId="1"/>
  </si>
  <si>
    <t>Degree Project 3</t>
    <phoneticPr fontId="1"/>
  </si>
  <si>
    <t>Framing and Analytical Courses (Minimum Required Credits: 28)</t>
    <phoneticPr fontId="1"/>
  </si>
  <si>
    <t>ISI Fundamental Courses  (Minimum Required Credits: 7)</t>
    <phoneticPr fontId="1"/>
  </si>
  <si>
    <t>Collaborative Courses (Minimum Required Credits: 8)</t>
    <phoneticPr fontId="1"/>
  </si>
  <si>
    <t>International Learning Courses (Minimum Required Credits: 2)</t>
    <phoneticPr fontId="1"/>
  </si>
  <si>
    <t>Interdisciplinary Innovative Courses (Minimum Required Credits: 19)</t>
    <phoneticPr fontId="1"/>
  </si>
  <si>
    <t>ISI Advanced Seminar 1</t>
    <phoneticPr fontId="1"/>
  </si>
  <si>
    <t>ISI Advanced Seminar 2</t>
    <phoneticPr fontId="1"/>
  </si>
  <si>
    <t>Others for KIKAN Education Courses (Minimum Required Credits : 8.5)</t>
    <phoneticPr fontId="1"/>
  </si>
  <si>
    <t>Others for Specialized Courses (Minimum Required Credits: 12)</t>
    <phoneticPr fontId="1"/>
  </si>
  <si>
    <t>Lecture Series　※Required to submit the final report after earning 15 stamps</t>
    <phoneticPr fontId="1"/>
  </si>
  <si>
    <t>Input data will emaerge the Check List</t>
    <phoneticPr fontId="1"/>
  </si>
  <si>
    <t>Student ID</t>
    <phoneticPr fontId="1"/>
  </si>
  <si>
    <t>Name</t>
    <phoneticPr fontId="1"/>
  </si>
  <si>
    <t>Checking Date</t>
    <phoneticPr fontId="1"/>
  </si>
  <si>
    <t>Check for the required credits for graduation</t>
    <phoneticPr fontId="1"/>
  </si>
  <si>
    <t>German</t>
    <phoneticPr fontId="1"/>
  </si>
  <si>
    <t>French</t>
    <phoneticPr fontId="1"/>
  </si>
  <si>
    <t>Chinese</t>
    <phoneticPr fontId="1"/>
  </si>
  <si>
    <t>Russian</t>
    <phoneticPr fontId="1"/>
  </si>
  <si>
    <t>Korean</t>
    <phoneticPr fontId="1"/>
  </si>
  <si>
    <t>Spanish</t>
    <phoneticPr fontId="1"/>
  </si>
  <si>
    <t>English</t>
    <phoneticPr fontId="1"/>
  </si>
  <si>
    <t>Japanese</t>
    <phoneticPr fontId="1"/>
  </si>
  <si>
    <t>Second Foreign Language (You cannot select the first foreign language nor your main native language)</t>
    <phoneticPr fontId="1"/>
  </si>
  <si>
    <t>About the International Experience (Exchange study or Internship)</t>
    <phoneticPr fontId="1"/>
  </si>
  <si>
    <t>/7 Credits</t>
    <phoneticPr fontId="1"/>
  </si>
  <si>
    <t>/8.5 Credits</t>
    <phoneticPr fontId="1"/>
  </si>
  <si>
    <t>/12 Credits</t>
    <phoneticPr fontId="1"/>
  </si>
  <si>
    <t>/26 Credits</t>
    <phoneticPr fontId="1"/>
  </si>
  <si>
    <t>/2 Credits</t>
    <phoneticPr fontId="1"/>
  </si>
  <si>
    <t>/9 Credits</t>
    <phoneticPr fontId="1"/>
  </si>
  <si>
    <t>/4 Credits</t>
    <phoneticPr fontId="1"/>
  </si>
  <si>
    <t>/6 Credits</t>
    <phoneticPr fontId="1"/>
  </si>
  <si>
    <t>KIKAN Education Seminars</t>
    <phoneticPr fontId="1"/>
  </si>
  <si>
    <t>Interdisciplinary Collaborative Learning of Social Issues</t>
    <phoneticPr fontId="1"/>
  </si>
  <si>
    <t>Courses in Humanities and Social Sciences</t>
    <phoneticPr fontId="1"/>
  </si>
  <si>
    <t>Category</t>
  </si>
  <si>
    <t>Category</t>
    <phoneticPr fontId="1"/>
  </si>
  <si>
    <t>Courses</t>
  </si>
  <si>
    <t>Courses</t>
    <phoneticPr fontId="1"/>
  </si>
  <si>
    <t>No. of credits</t>
  </si>
  <si>
    <t>No. of credits</t>
    <phoneticPr fontId="1"/>
  </si>
  <si>
    <t xml:space="preserve">Minimum acquired
credits
</t>
  </si>
  <si>
    <t xml:space="preserve">Minimum acquired
credits
</t>
    <phoneticPr fontId="1"/>
  </si>
  <si>
    <t>Others for KIKAN education</t>
  </si>
  <si>
    <t>Others for KIKAN education</t>
    <phoneticPr fontId="1"/>
  </si>
  <si>
    <t>Others for ISI Courses</t>
  </si>
  <si>
    <t>Others for ISI Courses</t>
    <phoneticPr fontId="1"/>
  </si>
  <si>
    <t>Choose「✓」after you acquired credit</t>
  </si>
  <si>
    <t>Choose「✓」after you acquired credit</t>
    <phoneticPr fontId="1"/>
  </si>
  <si>
    <t>Others（Ａ）</t>
  </si>
  <si>
    <t>Others（Ｂ）</t>
  </si>
  <si>
    <t>Others（D）</t>
    <phoneticPr fontId="1"/>
  </si>
  <si>
    <t>Others（い）</t>
  </si>
  <si>
    <t>Others（E）</t>
    <phoneticPr fontId="1"/>
  </si>
  <si>
    <t>Others（う）</t>
  </si>
  <si>
    <t>Others（F）</t>
  </si>
  <si>
    <t>Others（え）</t>
    <phoneticPr fontId="1"/>
  </si>
  <si>
    <t>Others（お）</t>
    <phoneticPr fontId="1"/>
  </si>
  <si>
    <t>Others（か）</t>
    <phoneticPr fontId="1"/>
  </si>
  <si>
    <t>Others（き）</t>
    <phoneticPr fontId="1"/>
  </si>
  <si>
    <t>Others（く）</t>
    <phoneticPr fontId="1"/>
  </si>
  <si>
    <t>First Foreign Language (Japanese) *October enrolled Students only</t>
    <phoneticPr fontId="1"/>
  </si>
  <si>
    <t>First Foreign Language (English) *April Enrolled Students only</t>
    <phoneticPr fontId="1"/>
  </si>
  <si>
    <t>Courses in Science</t>
    <phoneticPr fontId="1"/>
  </si>
  <si>
    <t>Courses for languages and Cultures</t>
    <phoneticPr fontId="1"/>
  </si>
  <si>
    <t>Computer Programming Exercise</t>
    <phoneticPr fontId="1"/>
  </si>
  <si>
    <t>Cross-Cultural Adjustment 1</t>
  </si>
  <si>
    <t>Cross-Cultural Adjustment 2</t>
  </si>
  <si>
    <t>Degree Project 2</t>
  </si>
  <si>
    <t>Degree Project 3</t>
  </si>
  <si>
    <t>Basic Project for ISI</t>
    <phoneticPr fontId="1"/>
  </si>
  <si>
    <t>Project for ISI</t>
    <phoneticPr fontId="1"/>
  </si>
  <si>
    <t>Lecture Series</t>
    <phoneticPr fontId="1"/>
  </si>
  <si>
    <t>KIKAN Education Courses for Students in the Second Year and above</t>
    <phoneticPr fontId="1"/>
  </si>
  <si>
    <t>General Courses（Choose Others（D) or（い）)</t>
    <phoneticPr fontId="1"/>
  </si>
  <si>
    <t>Second Foreign Language</t>
    <phoneticPr fontId="1"/>
  </si>
  <si>
    <t>Academic English</t>
    <phoneticPr fontId="1"/>
  </si>
  <si>
    <t>Courses in Cybersecurity</t>
    <phoneticPr fontId="1"/>
  </si>
  <si>
    <t>Health and Sports</t>
    <phoneticPr fontId="1"/>
  </si>
  <si>
    <t>Others：Specialized Courses of other departments ※Up to 10 Credits (Choose Others（F)or（え）)</t>
    <phoneticPr fontId="1"/>
  </si>
  <si>
    <t>Humanities and Social Sciences Approaches</t>
    <phoneticPr fontId="1"/>
  </si>
  <si>
    <t>Natural Sciences Approaches</t>
    <phoneticPr fontId="1"/>
  </si>
  <si>
    <t>Interdisciplinary Approaches</t>
    <phoneticPr fontId="1"/>
  </si>
  <si>
    <t>Framing and Analytical Courses</t>
    <phoneticPr fontId="1"/>
  </si>
  <si>
    <t>ISI Fundamental Courses</t>
    <phoneticPr fontId="1"/>
  </si>
  <si>
    <t>International Learning Courses</t>
    <phoneticPr fontId="1"/>
  </si>
  <si>
    <t>Collaborative Courses</t>
    <phoneticPr fontId="1"/>
  </si>
  <si>
    <t>Interdisciplinary Innovative Courses</t>
    <phoneticPr fontId="1"/>
  </si>
  <si>
    <t>Degree Project 1</t>
    <phoneticPr fontId="1"/>
  </si>
  <si>
    <t>Degree Project Courses</t>
    <phoneticPr fontId="1"/>
  </si>
  <si>
    <t>ISI Advanced Seminar</t>
    <phoneticPr fontId="1"/>
  </si>
  <si>
    <t>ISI Advanced Seminar 1</t>
    <phoneticPr fontId="1"/>
  </si>
  <si>
    <t>ISI Advanced Seminar 2</t>
    <phoneticPr fontId="1"/>
  </si>
  <si>
    <t>(Refer to the Student Handbook 2023 for taking courses. e.g. rules of taking courses with the same title)</t>
    <phoneticPr fontId="1"/>
  </si>
  <si>
    <t>「異文化対応２」に対する留学等の実施状況</t>
    <phoneticPr fontId="1"/>
  </si>
  <si>
    <t>※Earned credits in excess of minimum required credits of "Framing and Analytical Courses"</t>
    <phoneticPr fontId="1"/>
  </si>
  <si>
    <t xml:space="preserve">First Foreign Language (English)　※Students enrolled in April only </t>
    <phoneticPr fontId="1"/>
  </si>
  <si>
    <t>already finished International Experience for "Cross-Cultural Adjustment".</t>
    <phoneticPr fontId="1"/>
  </si>
  <si>
    <t>not finished yet and no plans</t>
    <phoneticPr fontId="1"/>
  </si>
  <si>
    <t>not finished yet, but specifically plan for next six months</t>
    <phoneticPr fontId="1"/>
  </si>
  <si>
    <t>not finished yet, but specifically plan for next year</t>
    <phoneticPr fontId="1"/>
  </si>
  <si>
    <t>Credits</t>
    <phoneticPr fontId="1"/>
  </si>
  <si>
    <t>アプローチ科目・人文・社会分野（系）（2単位必修）</t>
    <rPh sb="5" eb="7">
      <t>カモク</t>
    </rPh>
    <rPh sb="8" eb="10">
      <t>ジンブン</t>
    </rPh>
    <rPh sb="11" eb="13">
      <t>シャカイ</t>
    </rPh>
    <rPh sb="13" eb="15">
      <t>ブンヤ</t>
    </rPh>
    <rPh sb="16" eb="17">
      <t>ケイ</t>
    </rPh>
    <rPh sb="20" eb="22">
      <t>タンイ</t>
    </rPh>
    <rPh sb="22" eb="24">
      <t>ヒッシュウ</t>
    </rPh>
    <phoneticPr fontId="1"/>
  </si>
  <si>
    <t>アプローチ科目・自然科学分野（系）（2単位必修）</t>
    <rPh sb="8" eb="12">
      <t>シゼンカガク</t>
    </rPh>
    <rPh sb="12" eb="14">
      <t>ブンヤ</t>
    </rPh>
    <rPh sb="15" eb="16">
      <t>ケイ</t>
    </rPh>
    <rPh sb="19" eb="21">
      <t>タンイ</t>
    </rPh>
    <rPh sb="21" eb="23">
      <t>ヒッシュウ</t>
    </rPh>
    <phoneticPr fontId="1"/>
  </si>
  <si>
    <t>アプローチ科目・学際分野（系）（2単位必修）</t>
    <rPh sb="8" eb="10">
      <t>ガクサイ</t>
    </rPh>
    <rPh sb="10" eb="12">
      <t>ブンヤ</t>
    </rPh>
    <rPh sb="13" eb="14">
      <t>ケイ</t>
    </rPh>
    <rPh sb="17" eb="19">
      <t>タンイ</t>
    </rPh>
    <rPh sb="19" eb="21">
      <t>ヒッシュウ</t>
    </rPh>
    <phoneticPr fontId="1"/>
  </si>
  <si>
    <r>
      <t>「アプローチ科目」の必修6単位（各分野（系）2単位）を超えて修得した単位</t>
    </r>
    <r>
      <rPr>
        <sz val="8"/>
        <color theme="1"/>
        <rFont val="ＭＳ Ｐゴシック"/>
        <family val="3"/>
        <charset val="128"/>
        <scheme val="minor"/>
      </rPr>
      <t/>
    </r>
    <rPh sb="6" eb="8">
      <t>カモク</t>
    </rPh>
    <rPh sb="10" eb="12">
      <t>ヒッシュウ</t>
    </rPh>
    <rPh sb="13" eb="15">
      <t>タンイ</t>
    </rPh>
    <rPh sb="16" eb="17">
      <t>カク</t>
    </rPh>
    <rPh sb="17" eb="19">
      <t>ブンヤ</t>
    </rPh>
    <rPh sb="20" eb="21">
      <t>ケイ</t>
    </rPh>
    <rPh sb="23" eb="25">
      <t>タンイ</t>
    </rPh>
    <rPh sb="27" eb="28">
      <t>コ</t>
    </rPh>
    <rPh sb="30" eb="32">
      <t>シュウトク</t>
    </rPh>
    <rPh sb="34" eb="36">
      <t>タンイ</t>
    </rPh>
    <phoneticPr fontId="1"/>
  </si>
  <si>
    <t>※上記科目区分の必修単位を超えて修得した単位</t>
    <rPh sb="1" eb="3">
      <t>ジョウキ</t>
    </rPh>
    <rPh sb="3" eb="5">
      <t>カモク</t>
    </rPh>
    <rPh sb="5" eb="7">
      <t>クブン</t>
    </rPh>
    <rPh sb="10" eb="12">
      <t>タンイ</t>
    </rPh>
    <phoneticPr fontId="1"/>
  </si>
  <si>
    <t>※上記科目区分の必修単位を超えて修得した単位</t>
    <phoneticPr fontId="1"/>
  </si>
  <si>
    <t>※上記科目区分の必修単位を超えて修得した単位</t>
    <rPh sb="8" eb="10">
      <t>ヒッシュウ</t>
    </rPh>
    <rPh sb="10" eb="12">
      <t>タンイ</t>
    </rPh>
    <rPh sb="13" eb="14">
      <t>コ</t>
    </rPh>
    <rPh sb="16" eb="18">
      <t>シュウトク</t>
    </rPh>
    <rPh sb="20" eb="22">
      <t>タンイ</t>
    </rPh>
    <phoneticPr fontId="1"/>
  </si>
  <si>
    <t>※上記科目区分の必修単位を超えて修得した単位</t>
    <rPh sb="10" eb="12">
      <t>タンイ</t>
    </rPh>
    <phoneticPr fontId="1"/>
  </si>
  <si>
    <t>Approach Subjects/ Humanities and Social Sciences Approaches (Minimum 2 Credits)</t>
    <phoneticPr fontId="1"/>
  </si>
  <si>
    <t>Approach Subjects/ Natural Sciences Approaches (Minimum 2 Credits)</t>
    <phoneticPr fontId="1"/>
  </si>
  <si>
    <t>Approach Subjects/ Interdisciplinary Approaches (Minimum 2 Credits)</t>
    <phoneticPr fontId="1"/>
  </si>
  <si>
    <t>※Earned credits in excess of minimum required credits in above category</t>
  </si>
  <si>
    <t>※Earned credits in excess of minimum required credits in above category</t>
    <phoneticPr fontId="1"/>
  </si>
  <si>
    <t>※Earned credits in excess of minimum required credits in above category</t>
    <phoneticPr fontId="1"/>
  </si>
  <si>
    <t>Earned credits in excess of minimum required credits in above category</t>
  </si>
  <si>
    <t>Earned credits in excess of minimum required credits in above category</t>
    <phoneticPr fontId="1"/>
  </si>
  <si>
    <t>Earned credits in excess of minimum required credits in above category of "Japanese" *International Students Only and the courses not included in Others（B)</t>
  </si>
  <si>
    <t>Earned credits in excess of minimum required credits in above category（Choose Others（E) or （う）)</t>
  </si>
  <si>
    <t>*Number of stamps earned to date (Refer to the Moodle)</t>
    <phoneticPr fontId="1"/>
  </si>
  <si>
    <t>Number of stamps earned to date of Lecture Series (Refer to Moodle)</t>
    <phoneticPr fontId="1"/>
  </si>
  <si>
    <t>Timing and duration schedule for international experience</t>
    <phoneticPr fontId="1"/>
  </si>
  <si>
    <t>(e.g. Spring Quarter in 2025)</t>
    <phoneticPr fontId="1"/>
  </si>
  <si>
    <t>(e.g. 2024 Summer(estimated), Jun. to Feb. in 2025(confirmed), no particular plan)</t>
    <phoneticPr fontId="1"/>
  </si>
  <si>
    <t>(Choose from the list)</t>
  </si>
  <si>
    <t>KIKAN Education Seminar (Minimum Required Credits: 1)</t>
    <phoneticPr fontId="1"/>
  </si>
  <si>
    <t>Interdisciplinary Collaborative Learning of Social Isues  (Minimum Required Credits: 2.5)</t>
    <phoneticPr fontId="1"/>
  </si>
  <si>
    <t>Courses in Humanities and Social Sciences and Courses in Science  (each Minimum Required Credits: 8)</t>
    <phoneticPr fontId="1"/>
  </si>
  <si>
    <t>Courses for Language and Cultures (Minimum Required Credits: First Language 12, Second Language 4)</t>
    <phoneticPr fontId="1"/>
  </si>
  <si>
    <t>Academic English  (Minimum Required Credits: 2)</t>
    <phoneticPr fontId="1"/>
  </si>
  <si>
    <t>Courses in Cybersecurity   (Minimum Required Credits: 1)</t>
    <phoneticPr fontId="1"/>
  </si>
  <si>
    <t>KIKAN Education Courses for students in the 2nd year and above</t>
    <phoneticPr fontId="1"/>
  </si>
  <si>
    <t>(Minimum Required Credits: 2)</t>
    <phoneticPr fontId="1"/>
  </si>
  <si>
    <t>※Earned credits in excess of minimum required credits</t>
    <phoneticPr fontId="1"/>
  </si>
  <si>
    <t>Primary Course of Cyber Security -How to Survive the Cyber</t>
    <phoneticPr fontId="1"/>
  </si>
  <si>
    <t>Health and Sports Courses   (Minimum Required Credits: 1)</t>
    <phoneticPr fontId="1"/>
  </si>
  <si>
    <t>※Earned "Approach Subjects" credits in excess of minimum required credits for each categories</t>
    <phoneticPr fontId="1"/>
  </si>
  <si>
    <t xml:space="preserve">Progress of International Experience (Study abroad/ Internship) for "Cross-Cultural Adjustment 2" </t>
    <phoneticPr fontId="1"/>
  </si>
  <si>
    <t>When to take "Cross-Cultural Adjustment 2" after International Experience(e.g. Spring  quarter in 2025)</t>
    <phoneticPr fontId="1"/>
  </si>
  <si>
    <t>Second Foreign Language (Minimum Required Credits: 4)        Selected Second Language :</t>
    <phoneticPr fontId="1"/>
  </si>
  <si>
    <t>Your main native language</t>
    <phoneticPr fontId="1"/>
  </si>
  <si>
    <t>/1 Credits</t>
    <phoneticPr fontId="1"/>
  </si>
  <si>
    <t>※Earned credits in excess of minimum required credits in above category  *Up to 2 credits</t>
    <phoneticPr fontId="1"/>
  </si>
  <si>
    <t>※上記科目区分の必修単位を超えて修得した単位　※2単位まで</t>
    <rPh sb="25" eb="27">
      <t>タンイ</t>
    </rPh>
    <phoneticPr fontId="1"/>
  </si>
  <si>
    <r>
      <t xml:space="preserve">※International Students only  </t>
    </r>
    <r>
      <rPr>
        <sz val="9"/>
        <rFont val="ＭＳ Ｐゴシック"/>
        <family val="3"/>
        <charset val="128"/>
        <scheme val="minor"/>
      </rPr>
      <t>Credits of "Japanese" in excess of minimum credits, not included "Others(B)"</t>
    </r>
    <phoneticPr fontId="1"/>
  </si>
  <si>
    <t>上記科目区分の必修単位を超えて修得した単位</t>
  </si>
  <si>
    <r>
      <t>※留学生のみ</t>
    </r>
    <r>
      <rPr>
        <b/>
        <sz val="10"/>
        <rFont val="ＭＳ Ｐゴシック"/>
        <family val="3"/>
        <charset val="128"/>
        <scheme val="minor"/>
      </rPr>
      <t xml:space="preserve"> </t>
    </r>
    <r>
      <rPr>
        <sz val="10"/>
        <rFont val="ＭＳ Ｐゴシック"/>
        <family val="3"/>
        <charset val="128"/>
        <scheme val="minor"/>
      </rPr>
      <t>「日本語科目」の必修単位を超えて修得した単位(その他(B)に含めていない科目のみ)</t>
    </r>
    <rPh sb="1" eb="4">
      <t>リュウガクセイ</t>
    </rPh>
    <rPh sb="15" eb="17">
      <t>ヒッシュウ</t>
    </rPh>
    <rPh sb="17" eb="19">
      <t>タンイ</t>
    </rPh>
    <rPh sb="20" eb="21">
      <t>コ</t>
    </rPh>
    <rPh sb="23" eb="25">
      <t>シュウトク</t>
    </rPh>
    <rPh sb="27" eb="29">
      <t>タンイ</t>
    </rPh>
    <rPh sb="32" eb="33">
      <t>ホカ</t>
    </rPh>
    <rPh sb="37" eb="38">
      <t>フク</t>
    </rPh>
    <rPh sb="43" eb="45">
      <t>カモク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</si>
</sst>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800]dddd\,\ mmmm\ dd\,\ yyyy"/>
  </numFmts>
  <fonts count="3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8"/>
      <color theme="1"/>
      <name val="ＭＳ Ｐゴシック"/>
      <family val="2"/>
      <scheme val="minor"/>
    </font>
    <font>
      <sz val="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scheme val="minor"/>
    </font>
    <font>
      <b/>
      <sz val="14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b/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0"/>
      <name val="ＭＳ Ｐゴシック"/>
      <family val="2"/>
      <scheme val="minor"/>
    </font>
    <font>
      <sz val="16"/>
      <name val="ＭＳ Ｐゴシック"/>
      <family val="2"/>
      <scheme val="minor"/>
    </font>
    <font>
      <sz val="20"/>
      <name val="ＭＳ Ｐゴシック"/>
      <family val="2"/>
      <scheme val="minor"/>
    </font>
    <font>
      <u/>
      <sz val="11"/>
      <name val="ＭＳ Ｐゴシック"/>
      <family val="2"/>
      <scheme val="minor"/>
    </font>
    <font>
      <sz val="14"/>
      <name val="ＭＳ Ｐゴシック"/>
      <family val="2"/>
      <scheme val="minor"/>
    </font>
    <font>
      <b/>
      <sz val="12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9"/>
      <name val="ＭＳ Ｐゴシック"/>
      <family val="2"/>
      <scheme val="minor"/>
    </font>
    <font>
      <b/>
      <sz val="10"/>
      <name val="ＭＳ Ｐゴシック"/>
      <family val="3"/>
      <charset val="128"/>
      <scheme val="minor"/>
    </font>
    <font>
      <sz val="8"/>
      <name val="ＭＳ Ｐゴシック"/>
      <family val="2"/>
      <scheme val="minor"/>
    </font>
    <font>
      <sz val="10"/>
      <name val="HGPｺﾞｼｯｸM"/>
      <family val="3"/>
      <charset val="128"/>
    </font>
    <font>
      <b/>
      <sz val="7"/>
      <name val="ＭＳ Ｐゴシック"/>
      <family val="3"/>
      <charset val="128"/>
      <scheme val="minor"/>
    </font>
    <font>
      <sz val="8.5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  <font>
      <sz val="10.5"/>
      <name val="ＭＳ Ｐゴシック"/>
      <family val="2"/>
      <scheme val="minor"/>
    </font>
    <font>
      <sz val="14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DashDotDot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46">
    <xf numFmtId="0" fontId="0" fillId="0" borderId="0" xfId="0"/>
    <xf numFmtId="0" fontId="0" fillId="0" borderId="0" xfId="0" applyBorder="1"/>
    <xf numFmtId="0" fontId="7" fillId="0" borderId="0" xfId="0" applyFont="1"/>
    <xf numFmtId="0" fontId="5" fillId="0" borderId="0" xfId="0" applyFont="1"/>
    <xf numFmtId="0" fontId="0" fillId="0" borderId="0" xfId="0" applyFill="1" applyBorder="1"/>
    <xf numFmtId="0" fontId="0" fillId="0" borderId="27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7" xfId="0" applyBorder="1"/>
    <xf numFmtId="0" fontId="2" fillId="0" borderId="27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6" borderId="27" xfId="0" applyFill="1" applyBorder="1"/>
    <xf numFmtId="0" fontId="0" fillId="5" borderId="27" xfId="0" applyFill="1" applyBorder="1"/>
    <xf numFmtId="0" fontId="0" fillId="7" borderId="27" xfId="0" applyFill="1" applyBorder="1"/>
    <xf numFmtId="0" fontId="0" fillId="0" borderId="27" xfId="0" applyFill="1" applyBorder="1"/>
    <xf numFmtId="0" fontId="0" fillId="6" borderId="27" xfId="0" applyFill="1" applyBorder="1" applyAlignment="1">
      <alignment horizontal="center"/>
    </xf>
    <xf numFmtId="0" fontId="0" fillId="6" borderId="27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7" xfId="0" applyBorder="1" applyAlignment="1">
      <alignment wrapText="1"/>
    </xf>
    <xf numFmtId="0" fontId="0" fillId="0" borderId="27" xfId="0" applyBorder="1" applyAlignment="1">
      <alignment vertical="top"/>
    </xf>
    <xf numFmtId="0" fontId="0" fillId="0" borderId="27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wrapText="1"/>
    </xf>
    <xf numFmtId="176" fontId="0" fillId="6" borderId="27" xfId="0" applyNumberFormat="1" applyFill="1" applyBorder="1" applyAlignment="1">
      <alignment horizontal="center" vertical="center" wrapText="1"/>
    </xf>
    <xf numFmtId="176" fontId="0" fillId="6" borderId="27" xfId="0" applyNumberFormat="1" applyFill="1" applyBorder="1" applyAlignment="1">
      <alignment horizontal="center"/>
    </xf>
    <xf numFmtId="0" fontId="0" fillId="0" borderId="27" xfId="0" applyFill="1" applyBorder="1" applyAlignment="1">
      <alignment horizontal="center" vertical="center"/>
    </xf>
    <xf numFmtId="14" fontId="0" fillId="6" borderId="27" xfId="0" applyNumberFormat="1" applyFill="1" applyBorder="1"/>
    <xf numFmtId="0" fontId="11" fillId="0" borderId="27" xfId="0" applyFont="1" applyBorder="1"/>
    <xf numFmtId="0" fontId="10" fillId="0" borderId="27" xfId="0" applyFont="1" applyBorder="1"/>
    <xf numFmtId="0" fontId="10" fillId="0" borderId="27" xfId="0" applyFont="1" applyFill="1" applyBorder="1"/>
    <xf numFmtId="0" fontId="10" fillId="5" borderId="27" xfId="0" applyFont="1" applyFill="1" applyBorder="1"/>
    <xf numFmtId="0" fontId="10" fillId="7" borderId="27" xfId="0" applyFont="1" applyFill="1" applyBorder="1"/>
    <xf numFmtId="0" fontId="9" fillId="0" borderId="27" xfId="0" applyFont="1" applyBorder="1"/>
    <xf numFmtId="0" fontId="9" fillId="6" borderId="27" xfId="0" applyFont="1" applyFill="1" applyBorder="1"/>
    <xf numFmtId="0" fontId="9" fillId="0" borderId="27" xfId="0" applyFont="1" applyFill="1" applyBorder="1"/>
    <xf numFmtId="0" fontId="9" fillId="0" borderId="0" xfId="0" applyFont="1" applyBorder="1" applyAlignment="1"/>
    <xf numFmtId="0" fontId="9" fillId="0" borderId="0" xfId="0" applyFont="1" applyFill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13" fillId="0" borderId="91" xfId="0" applyFont="1" applyBorder="1" applyAlignment="1"/>
    <xf numFmtId="0" fontId="13" fillId="0" borderId="45" xfId="0" applyFont="1" applyBorder="1" applyAlignment="1"/>
    <xf numFmtId="0" fontId="8" fillId="0" borderId="6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13" fillId="0" borderId="92" xfId="0" applyFont="1" applyBorder="1" applyAlignment="1"/>
    <xf numFmtId="0" fontId="13" fillId="0" borderId="51" xfId="0" applyFont="1" applyBorder="1" applyAlignment="1"/>
    <xf numFmtId="0" fontId="13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left"/>
    </xf>
    <xf numFmtId="0" fontId="8" fillId="0" borderId="32" xfId="0" applyFont="1" applyBorder="1" applyAlignment="1">
      <alignment vertical="center"/>
    </xf>
    <xf numFmtId="0" fontId="8" fillId="0" borderId="26" xfId="0" applyFont="1" applyBorder="1" applyAlignment="1"/>
    <xf numFmtId="0" fontId="13" fillId="0" borderId="93" xfId="0" applyFont="1" applyBorder="1" applyAlignment="1"/>
    <xf numFmtId="0" fontId="13" fillId="0" borderId="90" xfId="0" applyFont="1" applyBorder="1" applyAlignment="1">
      <alignment horizontal="center"/>
    </xf>
    <xf numFmtId="0" fontId="13" fillId="0" borderId="30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8" fillId="5" borderId="30" xfId="0" applyFont="1" applyFill="1" applyBorder="1" applyAlignment="1">
      <alignment vertical="top"/>
    </xf>
    <xf numFmtId="0" fontId="15" fillId="5" borderId="31" xfId="0" applyFont="1" applyFill="1" applyBorder="1" applyAlignment="1">
      <alignment vertical="top" wrapText="1"/>
    </xf>
    <xf numFmtId="0" fontId="8" fillId="4" borderId="30" xfId="0" applyFont="1" applyFill="1" applyBorder="1" applyAlignment="1">
      <alignment vertical="top"/>
    </xf>
    <xf numFmtId="0" fontId="8" fillId="4" borderId="31" xfId="0" applyFont="1" applyFill="1" applyBorder="1" applyAlignment="1">
      <alignment vertical="top" wrapText="1"/>
    </xf>
    <xf numFmtId="176" fontId="9" fillId="0" borderId="26" xfId="0" applyNumberFormat="1" applyFont="1" applyBorder="1"/>
    <xf numFmtId="0" fontId="9" fillId="0" borderId="36" xfId="0" applyFont="1" applyBorder="1" applyAlignment="1"/>
    <xf numFmtId="0" fontId="9" fillId="0" borderId="16" xfId="0" applyFont="1" applyBorder="1" applyAlignment="1"/>
    <xf numFmtId="0" fontId="9" fillId="0" borderId="27" xfId="0" applyFont="1" applyBorder="1" applyAlignment="1"/>
    <xf numFmtId="0" fontId="9" fillId="0" borderId="27" xfId="0" applyFont="1" applyBorder="1" applyAlignment="1">
      <alignment horizontal="center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16" fillId="5" borderId="30" xfId="0" applyFont="1" applyFill="1" applyBorder="1" applyAlignment="1">
      <alignment vertical="top"/>
    </xf>
    <xf numFmtId="0" fontId="13" fillId="0" borderId="32" xfId="0" applyFont="1" applyBorder="1" applyAlignment="1">
      <alignment vertical="center" wrapText="1"/>
    </xf>
    <xf numFmtId="0" fontId="13" fillId="0" borderId="35" xfId="0" applyFont="1" applyBorder="1" applyAlignment="1">
      <alignment vertical="center" wrapText="1"/>
    </xf>
    <xf numFmtId="0" fontId="13" fillId="5" borderId="32" xfId="0" applyFont="1" applyFill="1" applyBorder="1" applyAlignment="1">
      <alignment vertical="center"/>
    </xf>
    <xf numFmtId="0" fontId="8" fillId="5" borderId="35" xfId="0" applyFont="1" applyFill="1" applyBorder="1" applyAlignment="1">
      <alignment vertical="center"/>
    </xf>
    <xf numFmtId="0" fontId="13" fillId="4" borderId="32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vertical="center" wrapText="1"/>
    </xf>
    <xf numFmtId="0" fontId="17" fillId="0" borderId="0" xfId="0" applyFont="1" applyAlignment="1"/>
    <xf numFmtId="0" fontId="18" fillId="0" borderId="0" xfId="0" applyFont="1" applyAlignment="1"/>
    <xf numFmtId="0" fontId="9" fillId="0" borderId="0" xfId="0" applyFont="1" applyAlignment="1"/>
    <xf numFmtId="0" fontId="9" fillId="0" borderId="0" xfId="0" applyFont="1"/>
    <xf numFmtId="0" fontId="19" fillId="0" borderId="0" xfId="0" applyFont="1" applyBorder="1"/>
    <xf numFmtId="0" fontId="9" fillId="0" borderId="0" xfId="0" applyFont="1" applyBorder="1" applyAlignment="1">
      <alignment horizontal="right"/>
    </xf>
    <xf numFmtId="0" fontId="9" fillId="0" borderId="26" xfId="0" applyFont="1" applyBorder="1"/>
    <xf numFmtId="0" fontId="9" fillId="0" borderId="0" xfId="0" applyFont="1" applyBorder="1"/>
    <xf numFmtId="0" fontId="13" fillId="0" borderId="0" xfId="0" applyFont="1" applyBorder="1"/>
    <xf numFmtId="0" fontId="2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horizontal="right"/>
    </xf>
    <xf numFmtId="0" fontId="21" fillId="0" borderId="0" xfId="0" applyFont="1"/>
    <xf numFmtId="0" fontId="22" fillId="0" borderId="0" xfId="0" applyFont="1"/>
    <xf numFmtId="0" fontId="22" fillId="0" borderId="0" xfId="0" applyFont="1" applyBorder="1"/>
    <xf numFmtId="0" fontId="9" fillId="0" borderId="63" xfId="0" applyFont="1" applyBorder="1"/>
    <xf numFmtId="0" fontId="9" fillId="0" borderId="64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right"/>
    </xf>
    <xf numFmtId="0" fontId="9" fillId="0" borderId="0" xfId="0" applyFont="1" applyBorder="1" applyAlignment="1">
      <alignment shrinkToFit="1"/>
    </xf>
    <xf numFmtId="0" fontId="9" fillId="0" borderId="0" xfId="0" applyFont="1" applyAlignment="1">
      <alignment shrinkToFit="1"/>
    </xf>
    <xf numFmtId="0" fontId="24" fillId="0" borderId="0" xfId="0" applyFont="1"/>
    <xf numFmtId="0" fontId="9" fillId="0" borderId="43" xfId="0" applyFont="1" applyBorder="1" applyAlignment="1">
      <alignment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6" fillId="0" borderId="12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25" fillId="5" borderId="31" xfId="0" applyFont="1" applyFill="1" applyBorder="1" applyAlignment="1">
      <alignment vertical="top" wrapText="1"/>
    </xf>
    <xf numFmtId="0" fontId="9" fillId="0" borderId="46" xfId="0" applyFont="1" applyBorder="1" applyAlignment="1">
      <alignment vertical="center"/>
    </xf>
    <xf numFmtId="0" fontId="9" fillId="0" borderId="66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9" fillId="0" borderId="32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49" xfId="0" applyFont="1" applyBorder="1" applyAlignment="1">
      <alignment vertical="center"/>
    </xf>
    <xf numFmtId="0" fontId="9" fillId="0" borderId="50" xfId="0" applyFont="1" applyBorder="1" applyAlignment="1">
      <alignment horizontal="center" vertical="center"/>
    </xf>
    <xf numFmtId="0" fontId="16" fillId="0" borderId="14" xfId="0" applyFont="1" applyBorder="1" applyAlignment="1">
      <alignment horizontal="right" vertical="center" wrapText="1"/>
    </xf>
    <xf numFmtId="0" fontId="9" fillId="0" borderId="5" xfId="0" applyFont="1" applyBorder="1" applyAlignment="1">
      <alignment vertical="center" wrapText="1"/>
    </xf>
    <xf numFmtId="0" fontId="22" fillId="0" borderId="0" xfId="0" applyFont="1" applyBorder="1" applyAlignment="1"/>
    <xf numFmtId="0" fontId="9" fillId="0" borderId="43" xfId="0" applyFont="1" applyFill="1" applyBorder="1" applyAlignment="1">
      <alignment vertical="center"/>
    </xf>
    <xf numFmtId="0" fontId="9" fillId="0" borderId="44" xfId="0" applyFont="1" applyFill="1" applyBorder="1" applyAlignment="1">
      <alignment horizontal="center" vertical="center"/>
    </xf>
    <xf numFmtId="0" fontId="8" fillId="0" borderId="12" xfId="0" applyFont="1" applyBorder="1" applyAlignment="1">
      <alignment wrapText="1"/>
    </xf>
    <xf numFmtId="0" fontId="9" fillId="0" borderId="46" xfId="0" applyFont="1" applyFill="1" applyBorder="1" applyAlignment="1">
      <alignment vertical="center" shrinkToFit="1"/>
    </xf>
    <xf numFmtId="0" fontId="9" fillId="0" borderId="47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8" fillId="0" borderId="13" xfId="0" applyFont="1" applyBorder="1" applyAlignment="1">
      <alignment wrapText="1"/>
    </xf>
    <xf numFmtId="0" fontId="9" fillId="0" borderId="10" xfId="0" applyFont="1" applyBorder="1" applyAlignment="1"/>
    <xf numFmtId="0" fontId="16" fillId="0" borderId="6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9" fillId="0" borderId="11" xfId="0" applyFont="1" applyBorder="1" applyAlignment="1"/>
    <xf numFmtId="0" fontId="9" fillId="0" borderId="51" xfId="0" applyFont="1" applyBorder="1" applyAlignment="1">
      <alignment horizontal="center" vertical="center"/>
    </xf>
    <xf numFmtId="0" fontId="9" fillId="0" borderId="50" xfId="0" applyFont="1" applyBorder="1" applyAlignment="1">
      <alignment vertical="center"/>
    </xf>
    <xf numFmtId="0" fontId="14" fillId="0" borderId="12" xfId="0" applyFont="1" applyBorder="1"/>
    <xf numFmtId="0" fontId="13" fillId="0" borderId="12" xfId="0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9" fillId="0" borderId="43" xfId="0" applyFont="1" applyBorder="1"/>
    <xf numFmtId="0" fontId="9" fillId="0" borderId="44" xfId="0" applyFont="1" applyBorder="1"/>
    <xf numFmtId="0" fontId="9" fillId="0" borderId="45" xfId="0" applyFont="1" applyBorder="1"/>
    <xf numFmtId="0" fontId="16" fillId="2" borderId="12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 wrapText="1"/>
    </xf>
    <xf numFmtId="0" fontId="9" fillId="0" borderId="13" xfId="0" applyFont="1" applyBorder="1"/>
    <xf numFmtId="0" fontId="9" fillId="0" borderId="52" xfId="0" applyFont="1" applyBorder="1"/>
    <xf numFmtId="0" fontId="9" fillId="0" borderId="47" xfId="0" applyFont="1" applyBorder="1" applyAlignment="1">
      <alignment horizontal="center"/>
    </xf>
    <xf numFmtId="0" fontId="9" fillId="5" borderId="48" xfId="0" applyFont="1" applyFill="1" applyBorder="1" applyAlignment="1">
      <alignment horizontal="center"/>
    </xf>
    <xf numFmtId="0" fontId="9" fillId="0" borderId="46" xfId="0" applyFont="1" applyBorder="1"/>
    <xf numFmtId="0" fontId="8" fillId="2" borderId="13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9" fillId="0" borderId="32" xfId="0" applyFont="1" applyBorder="1"/>
    <xf numFmtId="0" fontId="9" fillId="0" borderId="53" xfId="0" applyFont="1" applyBorder="1"/>
    <xf numFmtId="0" fontId="9" fillId="0" borderId="54" xfId="0" applyFont="1" applyBorder="1" applyAlignment="1">
      <alignment horizontal="center"/>
    </xf>
    <xf numFmtId="0" fontId="9" fillId="5" borderId="55" xfId="0" applyFont="1" applyFill="1" applyBorder="1" applyAlignment="1">
      <alignment horizontal="center"/>
    </xf>
    <xf numFmtId="0" fontId="9" fillId="0" borderId="56" xfId="0" applyFont="1" applyBorder="1"/>
    <xf numFmtId="0" fontId="8" fillId="2" borderId="32" xfId="0" applyFont="1" applyFill="1" applyBorder="1" applyAlignment="1">
      <alignment vertical="center" wrapText="1"/>
    </xf>
    <xf numFmtId="0" fontId="8" fillId="2" borderId="35" xfId="0" applyFont="1" applyFill="1" applyBorder="1" applyAlignment="1">
      <alignment vertical="center" wrapText="1"/>
    </xf>
    <xf numFmtId="0" fontId="9" fillId="0" borderId="29" xfId="0" applyFont="1" applyBorder="1"/>
    <xf numFmtId="0" fontId="9" fillId="0" borderId="29" xfId="0" applyFont="1" applyFill="1" applyBorder="1" applyAlignment="1">
      <alignment vertical="center"/>
    </xf>
    <xf numFmtId="0" fontId="26" fillId="0" borderId="28" xfId="0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/>
    </xf>
    <xf numFmtId="0" fontId="13" fillId="0" borderId="58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/>
    </xf>
    <xf numFmtId="0" fontId="26" fillId="0" borderId="59" xfId="0" applyFont="1" applyBorder="1" applyAlignment="1">
      <alignment shrinkToFit="1"/>
    </xf>
    <xf numFmtId="0" fontId="16" fillId="0" borderId="30" xfId="0" applyFont="1" applyBorder="1" applyAlignment="1">
      <alignment wrapText="1"/>
    </xf>
    <xf numFmtId="0" fontId="9" fillId="0" borderId="39" xfId="0" applyFont="1" applyBorder="1" applyAlignment="1">
      <alignment wrapText="1"/>
    </xf>
    <xf numFmtId="0" fontId="26" fillId="0" borderId="4" xfId="0" applyFont="1" applyBorder="1" applyAlignment="1">
      <alignment vertical="center"/>
    </xf>
    <xf numFmtId="0" fontId="26" fillId="0" borderId="52" xfId="0" applyFont="1" applyBorder="1"/>
    <xf numFmtId="0" fontId="13" fillId="0" borderId="47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26" fillId="0" borderId="46" xfId="0" applyFont="1" applyBorder="1" applyAlignment="1">
      <alignment shrinkToFit="1"/>
    </xf>
    <xf numFmtId="0" fontId="16" fillId="0" borderId="13" xfId="0" applyFont="1" applyBorder="1" applyAlignment="1">
      <alignment wrapText="1"/>
    </xf>
    <xf numFmtId="0" fontId="9" fillId="0" borderId="48" xfId="0" applyFont="1" applyFill="1" applyBorder="1" applyAlignment="1">
      <alignment horizontal="center"/>
    </xf>
    <xf numFmtId="0" fontId="9" fillId="0" borderId="40" xfId="0" applyFont="1" applyBorder="1"/>
    <xf numFmtId="0" fontId="22" fillId="0" borderId="41" xfId="0" applyFont="1" applyFill="1" applyBorder="1" applyAlignment="1"/>
    <xf numFmtId="0" fontId="9" fillId="0" borderId="41" xfId="0" applyFont="1" applyFill="1" applyBorder="1" applyAlignment="1"/>
    <xf numFmtId="0" fontId="22" fillId="0" borderId="41" xfId="0" applyFont="1" applyBorder="1"/>
    <xf numFmtId="0" fontId="9" fillId="0" borderId="41" xfId="0" applyFont="1" applyFill="1" applyBorder="1" applyAlignment="1">
      <alignment vertical="center" wrapText="1"/>
    </xf>
    <xf numFmtId="0" fontId="9" fillId="0" borderId="41" xfId="0" applyFont="1" applyBorder="1"/>
    <xf numFmtId="0" fontId="9" fillId="0" borderId="24" xfId="0" applyFont="1" applyBorder="1"/>
    <xf numFmtId="0" fontId="26" fillId="0" borderId="25" xfId="0" applyFont="1" applyBorder="1" applyAlignment="1">
      <alignment vertical="center"/>
    </xf>
    <xf numFmtId="0" fontId="26" fillId="0" borderId="53" xfId="0" applyFont="1" applyBorder="1"/>
    <xf numFmtId="0" fontId="13" fillId="0" borderId="54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26" fillId="0" borderId="56" xfId="0" applyFont="1" applyBorder="1" applyAlignment="1">
      <alignment shrinkToFit="1"/>
    </xf>
    <xf numFmtId="0" fontId="8" fillId="0" borderId="32" xfId="0" applyFont="1" applyBorder="1" applyAlignment="1">
      <alignment horizontal="right" wrapText="1"/>
    </xf>
    <xf numFmtId="0" fontId="9" fillId="0" borderId="42" xfId="0" applyFont="1" applyBorder="1" applyAlignment="1">
      <alignment horizontal="left" wrapText="1"/>
    </xf>
    <xf numFmtId="0" fontId="27" fillId="0" borderId="0" xfId="0" applyFont="1"/>
    <xf numFmtId="0" fontId="22" fillId="0" borderId="4" xfId="0" applyFont="1" applyBorder="1" applyAlignment="1">
      <alignment vertical="center"/>
    </xf>
    <xf numFmtId="0" fontId="28" fillId="0" borderId="0" xfId="0" applyFont="1" applyBorder="1"/>
    <xf numFmtId="0" fontId="13" fillId="0" borderId="13" xfId="0" applyFont="1" applyBorder="1" applyAlignment="1">
      <alignment horizontal="center" wrapText="1"/>
    </xf>
    <xf numFmtId="0" fontId="13" fillId="0" borderId="7" xfId="0" applyFont="1" applyBorder="1" applyAlignment="1">
      <alignment vertical="center"/>
    </xf>
    <xf numFmtId="0" fontId="13" fillId="0" borderId="61" xfId="0" applyFont="1" applyBorder="1"/>
    <xf numFmtId="0" fontId="13" fillId="0" borderId="1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8" fillId="0" borderId="14" xfId="0" applyFont="1" applyBorder="1" applyAlignment="1">
      <alignment horizontal="right" wrapText="1"/>
    </xf>
    <xf numFmtId="0" fontId="9" fillId="0" borderId="5" xfId="0" applyFont="1" applyBorder="1" applyAlignment="1">
      <alignment horizontal="left" wrapText="1"/>
    </xf>
    <xf numFmtId="0" fontId="9" fillId="0" borderId="28" xfId="0" applyFont="1" applyBorder="1" applyAlignment="1">
      <alignment vertical="center"/>
    </xf>
    <xf numFmtId="0" fontId="9" fillId="0" borderId="57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9" fillId="0" borderId="30" xfId="0" applyFont="1" applyBorder="1" applyAlignment="1">
      <alignment wrapText="1"/>
    </xf>
    <xf numFmtId="0" fontId="9" fillId="0" borderId="39" xfId="0" applyFont="1" applyBorder="1" applyAlignment="1"/>
    <xf numFmtId="0" fontId="13" fillId="0" borderId="4" xfId="0" applyFont="1" applyBorder="1" applyAlignment="1">
      <alignment vertical="center"/>
    </xf>
    <xf numFmtId="0" fontId="13" fillId="0" borderId="52" xfId="0" applyFont="1" applyBorder="1"/>
    <xf numFmtId="0" fontId="13" fillId="0" borderId="46" xfId="0" applyFont="1" applyBorder="1"/>
    <xf numFmtId="0" fontId="9" fillId="0" borderId="13" xfId="0" applyFont="1" applyBorder="1" applyAlignment="1"/>
    <xf numFmtId="0" fontId="9" fillId="0" borderId="3" xfId="0" applyFont="1" applyBorder="1" applyAlignment="1"/>
    <xf numFmtId="0" fontId="9" fillId="0" borderId="13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/>
    </xf>
    <xf numFmtId="0" fontId="13" fillId="0" borderId="49" xfId="0" applyFont="1" applyBorder="1"/>
    <xf numFmtId="0" fontId="22" fillId="0" borderId="21" xfId="0" applyFont="1" applyBorder="1"/>
    <xf numFmtId="0" fontId="9" fillId="0" borderId="22" xfId="0" applyFont="1" applyBorder="1"/>
    <xf numFmtId="0" fontId="22" fillId="0" borderId="22" xfId="0" applyFont="1" applyBorder="1"/>
    <xf numFmtId="0" fontId="9" fillId="0" borderId="24" xfId="0" applyFont="1" applyFill="1" applyBorder="1"/>
    <xf numFmtId="0" fontId="9" fillId="0" borderId="0" xfId="0" applyFont="1" applyFill="1" applyBorder="1"/>
    <xf numFmtId="0" fontId="9" fillId="0" borderId="4" xfId="0" applyFont="1" applyBorder="1" applyAlignment="1">
      <alignment vertical="center"/>
    </xf>
    <xf numFmtId="0" fontId="9" fillId="0" borderId="58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9" fillId="0" borderId="39" xfId="0" applyFont="1" applyBorder="1" applyAlignment="1">
      <alignment vertical="center" wrapText="1"/>
    </xf>
    <xf numFmtId="0" fontId="9" fillId="0" borderId="61" xfId="0" applyFont="1" applyBorder="1" applyAlignment="1">
      <alignment vertical="center"/>
    </xf>
    <xf numFmtId="0" fontId="8" fillId="0" borderId="14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left" vertical="center" wrapText="1"/>
    </xf>
    <xf numFmtId="0" fontId="22" fillId="0" borderId="0" xfId="0" applyFont="1" applyFill="1" applyBorder="1"/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3" fillId="0" borderId="43" xfId="0" applyFont="1" applyBorder="1" applyAlignment="1">
      <alignment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right" wrapText="1"/>
    </xf>
    <xf numFmtId="0" fontId="13" fillId="0" borderId="13" xfId="0" applyFont="1" applyBorder="1" applyAlignment="1">
      <alignment vertical="center"/>
    </xf>
    <xf numFmtId="0" fontId="13" fillId="0" borderId="52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13" fillId="5" borderId="48" xfId="0" applyFont="1" applyFill="1" applyBorder="1" applyAlignment="1">
      <alignment horizontal="center" vertical="center"/>
    </xf>
    <xf numFmtId="0" fontId="13" fillId="0" borderId="46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/>
    </xf>
    <xf numFmtId="0" fontId="13" fillId="5" borderId="55" xfId="0" applyFont="1" applyFill="1" applyBorder="1" applyAlignment="1">
      <alignment horizontal="center" vertical="center"/>
    </xf>
    <xf numFmtId="0" fontId="13" fillId="0" borderId="56" xfId="0" applyFont="1" applyBorder="1" applyAlignment="1">
      <alignment vertical="center"/>
    </xf>
    <xf numFmtId="0" fontId="13" fillId="2" borderId="32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left" vertical="center" wrapText="1"/>
    </xf>
    <xf numFmtId="0" fontId="29" fillId="0" borderId="30" xfId="0" applyFont="1" applyBorder="1" applyAlignment="1">
      <alignment vertical="center"/>
    </xf>
    <xf numFmtId="0" fontId="9" fillId="0" borderId="29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8" fillId="4" borderId="30" xfId="0" applyFont="1" applyFill="1" applyBorder="1" applyAlignment="1">
      <alignment vertical="center"/>
    </xf>
    <xf numFmtId="0" fontId="8" fillId="4" borderId="31" xfId="0" applyFont="1" applyFill="1" applyBorder="1" applyAlignment="1">
      <alignment vertical="center" wrapText="1"/>
    </xf>
    <xf numFmtId="0" fontId="9" fillId="0" borderId="32" xfId="0" applyFont="1" applyBorder="1" applyAlignment="1">
      <alignment vertical="center"/>
    </xf>
    <xf numFmtId="0" fontId="9" fillId="0" borderId="53" xfId="0" applyFont="1" applyBorder="1" applyAlignment="1">
      <alignment vertical="center"/>
    </xf>
    <xf numFmtId="0" fontId="9" fillId="0" borderId="54" xfId="0" applyFont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9" fillId="0" borderId="56" xfId="0" applyFont="1" applyBorder="1" applyAlignment="1">
      <alignment vertical="center"/>
    </xf>
    <xf numFmtId="0" fontId="8" fillId="4" borderId="35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/>
    <xf numFmtId="0" fontId="9" fillId="0" borderId="8" xfId="0" applyFont="1" applyBorder="1" applyAlignment="1">
      <alignment vertical="center"/>
    </xf>
    <xf numFmtId="0" fontId="9" fillId="0" borderId="88" xfId="0" applyFont="1" applyBorder="1" applyAlignment="1">
      <alignment vertical="center"/>
    </xf>
    <xf numFmtId="0" fontId="9" fillId="0" borderId="88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8" xfId="0" applyFont="1" applyBorder="1" applyAlignment="1">
      <alignment horizontal="left" vertical="center" shrinkToFit="1"/>
    </xf>
    <xf numFmtId="0" fontId="9" fillId="0" borderId="22" xfId="0" applyFont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6" fillId="2" borderId="13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9" fillId="5" borderId="48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left" vertical="center"/>
    </xf>
    <xf numFmtId="0" fontId="9" fillId="5" borderId="55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left" vertical="center"/>
    </xf>
    <xf numFmtId="0" fontId="21" fillId="0" borderId="0" xfId="0" applyFont="1" applyAlignment="1"/>
    <xf numFmtId="0" fontId="21" fillId="0" borderId="0" xfId="0" applyFont="1" applyAlignment="1">
      <alignment vertical="center"/>
    </xf>
    <xf numFmtId="49" fontId="9" fillId="0" borderId="0" xfId="0" applyNumberFormat="1" applyFont="1" applyBorder="1" applyAlignment="1">
      <alignment shrinkToFit="1"/>
    </xf>
    <xf numFmtId="0" fontId="9" fillId="0" borderId="6" xfId="0" applyFont="1" applyBorder="1" applyAlignment="1"/>
    <xf numFmtId="0" fontId="9" fillId="0" borderId="6" xfId="0" applyFont="1" applyBorder="1" applyAlignment="1">
      <alignment shrinkToFit="1"/>
    </xf>
    <xf numFmtId="0" fontId="9" fillId="0" borderId="44" xfId="0" applyFont="1" applyBorder="1" applyAlignment="1">
      <alignment horizontal="center" shrinkToFit="1"/>
    </xf>
    <xf numFmtId="0" fontId="9" fillId="0" borderId="45" xfId="0" applyFont="1" applyBorder="1" applyAlignment="1">
      <alignment horizontal="center" shrinkToFit="1"/>
    </xf>
    <xf numFmtId="49" fontId="9" fillId="0" borderId="2" xfId="0" applyNumberFormat="1" applyFont="1" applyBorder="1" applyAlignment="1">
      <alignment shrinkToFit="1"/>
    </xf>
    <xf numFmtId="0" fontId="9" fillId="0" borderId="65" xfId="0" applyFont="1" applyBorder="1" applyAlignment="1">
      <alignment horizontal="center" shrinkToFit="1"/>
    </xf>
    <xf numFmtId="0" fontId="23" fillId="0" borderId="12" xfId="0" applyFont="1" applyBorder="1" applyAlignment="1">
      <alignment wrapText="1" shrinkToFit="1"/>
    </xf>
    <xf numFmtId="0" fontId="23" fillId="0" borderId="2" xfId="0" applyFont="1" applyBorder="1" applyAlignment="1">
      <alignment wrapText="1" shrinkToFit="1"/>
    </xf>
    <xf numFmtId="0" fontId="23" fillId="0" borderId="20" xfId="0" applyFont="1" applyBorder="1" applyAlignment="1">
      <alignment wrapText="1" shrinkToFit="1"/>
    </xf>
    <xf numFmtId="0" fontId="9" fillId="0" borderId="4" xfId="0" applyFont="1" applyBorder="1" applyAlignment="1"/>
    <xf numFmtId="0" fontId="9" fillId="0" borderId="4" xfId="0" applyFont="1" applyBorder="1" applyAlignment="1">
      <alignment shrinkToFit="1"/>
    </xf>
    <xf numFmtId="0" fontId="9" fillId="0" borderId="47" xfId="0" applyFont="1" applyBorder="1" applyAlignment="1">
      <alignment horizontal="center" shrinkToFit="1"/>
    </xf>
    <xf numFmtId="0" fontId="9" fillId="0" borderId="48" xfId="0" applyFont="1" applyBorder="1" applyAlignment="1">
      <alignment horizontal="center" shrinkToFit="1"/>
    </xf>
    <xf numFmtId="0" fontId="9" fillId="0" borderId="66" xfId="0" applyFont="1" applyBorder="1" applyAlignment="1">
      <alignment horizontal="center" shrinkToFit="1"/>
    </xf>
    <xf numFmtId="0" fontId="23" fillId="0" borderId="13" xfId="0" applyFont="1" applyBorder="1" applyAlignment="1">
      <alignment wrapText="1" shrinkToFit="1"/>
    </xf>
    <xf numFmtId="0" fontId="23" fillId="0" borderId="0" xfId="0" applyFont="1" applyBorder="1" applyAlignment="1">
      <alignment wrapText="1" shrinkToFit="1"/>
    </xf>
    <xf numFmtId="0" fontId="23" fillId="0" borderId="3" xfId="0" applyFont="1" applyBorder="1" applyAlignment="1">
      <alignment wrapText="1" shrinkToFit="1"/>
    </xf>
    <xf numFmtId="0" fontId="23" fillId="0" borderId="13" xfId="0" applyFont="1" applyBorder="1" applyAlignment="1">
      <alignment horizontal="center" vertical="center" wrapText="1" shrinkToFit="1"/>
    </xf>
    <xf numFmtId="0" fontId="16" fillId="0" borderId="0" xfId="0" applyFont="1" applyBorder="1" applyAlignment="1">
      <alignment wrapText="1" shrinkToFit="1"/>
    </xf>
    <xf numFmtId="0" fontId="16" fillId="0" borderId="3" xfId="0" applyFont="1" applyBorder="1" applyAlignment="1">
      <alignment wrapText="1" shrinkToFit="1"/>
    </xf>
    <xf numFmtId="0" fontId="9" fillId="0" borderId="7" xfId="0" applyFont="1" applyBorder="1" applyAlignment="1"/>
    <xf numFmtId="0" fontId="9" fillId="0" borderId="7" xfId="0" applyFont="1" applyBorder="1" applyAlignment="1">
      <alignment shrinkToFit="1"/>
    </xf>
    <xf numFmtId="0" fontId="9" fillId="0" borderId="50" xfId="0" applyFont="1" applyBorder="1" applyAlignment="1">
      <alignment horizontal="center" shrinkToFit="1"/>
    </xf>
    <xf numFmtId="0" fontId="9" fillId="0" borderId="51" xfId="0" applyFont="1" applyBorder="1" applyAlignment="1">
      <alignment horizontal="center" shrinkToFit="1"/>
    </xf>
    <xf numFmtId="49" fontId="9" fillId="0" borderId="1" xfId="0" applyNumberFormat="1" applyFont="1" applyBorder="1" applyAlignment="1">
      <alignment shrinkToFit="1"/>
    </xf>
    <xf numFmtId="49" fontId="9" fillId="0" borderId="50" xfId="0" applyNumberFormat="1" applyFont="1" applyBorder="1" applyAlignment="1">
      <alignment horizontal="center" shrinkToFit="1"/>
    </xf>
    <xf numFmtId="49" fontId="9" fillId="0" borderId="67" xfId="0" applyNumberFormat="1" applyFont="1" applyBorder="1" applyAlignment="1">
      <alignment horizontal="center" shrinkToFit="1"/>
    </xf>
    <xf numFmtId="0" fontId="23" fillId="0" borderId="14" xfId="0" applyFont="1" applyBorder="1" applyAlignment="1">
      <alignment horizontal="right" wrapText="1" shrinkToFit="1"/>
    </xf>
    <xf numFmtId="0" fontId="8" fillId="0" borderId="1" xfId="0" applyFont="1" applyBorder="1" applyAlignment="1">
      <alignment wrapText="1" shrinkToFit="1"/>
    </xf>
    <xf numFmtId="0" fontId="8" fillId="0" borderId="5" xfId="0" applyFont="1" applyBorder="1" applyAlignment="1">
      <alignment wrapText="1" shrinkToFit="1"/>
    </xf>
    <xf numFmtId="0" fontId="16" fillId="4" borderId="12" xfId="0" applyFont="1" applyFill="1" applyBorder="1" applyAlignment="1">
      <alignment horizontal="right" wrapText="1"/>
    </xf>
    <xf numFmtId="0" fontId="9" fillId="4" borderId="14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" xfId="0" applyFont="1" applyBorder="1" applyAlignment="1"/>
    <xf numFmtId="0" fontId="13" fillId="0" borderId="20" xfId="0" applyFont="1" applyBorder="1" applyAlignment="1"/>
    <xf numFmtId="0" fontId="9" fillId="0" borderId="25" xfId="0" applyFont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22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49" fontId="9" fillId="0" borderId="26" xfId="0" applyNumberFormat="1" applyFont="1" applyBorder="1" applyAlignment="1">
      <alignment horizontal="center" shrinkToFit="1"/>
    </xf>
    <xf numFmtId="0" fontId="22" fillId="0" borderId="26" xfId="0" applyNumberFormat="1" applyFont="1" applyBorder="1" applyAlignment="1">
      <alignment horizontal="center" shrinkToFit="1"/>
    </xf>
    <xf numFmtId="0" fontId="14" fillId="0" borderId="35" xfId="0" applyFont="1" applyBorder="1" applyAlignment="1">
      <alignment horizontal="center" wrapText="1"/>
    </xf>
    <xf numFmtId="0" fontId="9" fillId="0" borderId="13" xfId="0" applyFont="1" applyBorder="1" applyAlignment="1">
      <alignment horizontal="right" wrapText="1"/>
    </xf>
    <xf numFmtId="0" fontId="9" fillId="0" borderId="26" xfId="0" applyFont="1" applyBorder="1" applyAlignment="1">
      <alignment wrapText="1"/>
    </xf>
    <xf numFmtId="0" fontId="9" fillId="0" borderId="28" xfId="0" applyFont="1" applyBorder="1" applyAlignment="1"/>
    <xf numFmtId="0" fontId="9" fillId="0" borderId="29" xfId="0" applyFont="1" applyBorder="1" applyAlignment="1"/>
    <xf numFmtId="49" fontId="9" fillId="0" borderId="29" xfId="0" applyNumberFormat="1" applyFont="1" applyBorder="1" applyAlignment="1">
      <alignment shrinkToFit="1"/>
    </xf>
    <xf numFmtId="0" fontId="14" fillId="0" borderId="31" xfId="0" applyFont="1" applyBorder="1" applyAlignment="1">
      <alignment wrapText="1"/>
    </xf>
    <xf numFmtId="0" fontId="9" fillId="0" borderId="57" xfId="0" applyFont="1" applyBorder="1" applyAlignment="1">
      <alignment wrapText="1"/>
    </xf>
    <xf numFmtId="0" fontId="9" fillId="0" borderId="25" xfId="0" applyFont="1" applyBorder="1" applyAlignment="1"/>
    <xf numFmtId="0" fontId="9" fillId="0" borderId="26" xfId="0" applyFont="1" applyBorder="1" applyAlignment="1">
      <alignment shrinkToFit="1"/>
    </xf>
    <xf numFmtId="0" fontId="9" fillId="0" borderId="54" xfId="0" applyFont="1" applyBorder="1" applyAlignment="1">
      <alignment horizontal="center" shrinkToFit="1"/>
    </xf>
    <xf numFmtId="0" fontId="9" fillId="0" borderId="55" xfId="0" applyFont="1" applyBorder="1" applyAlignment="1">
      <alignment horizontal="center" shrinkToFit="1"/>
    </xf>
    <xf numFmtId="0" fontId="9" fillId="0" borderId="56" xfId="0" applyNumberFormat="1" applyFont="1" applyBorder="1" applyAlignment="1">
      <alignment shrinkToFit="1"/>
    </xf>
    <xf numFmtId="0" fontId="13" fillId="0" borderId="55" xfId="0" applyFont="1" applyBorder="1" applyAlignment="1">
      <alignment horizontal="center" vertical="center"/>
    </xf>
    <xf numFmtId="0" fontId="9" fillId="0" borderId="68" xfId="0" applyFont="1" applyBorder="1" applyAlignment="1">
      <alignment horizontal="right" vertical="center" wrapText="1"/>
    </xf>
    <xf numFmtId="0" fontId="9" fillId="0" borderId="69" xfId="0" applyFont="1" applyBorder="1" applyAlignment="1">
      <alignment wrapText="1"/>
    </xf>
    <xf numFmtId="0" fontId="9" fillId="0" borderId="31" xfId="0" applyFont="1" applyBorder="1" applyAlignment="1"/>
    <xf numFmtId="0" fontId="9" fillId="0" borderId="13" xfId="0" applyFont="1" applyBorder="1" applyAlignment="1">
      <alignment wrapText="1"/>
    </xf>
    <xf numFmtId="0" fontId="9" fillId="0" borderId="52" xfId="0" applyFont="1" applyBorder="1" applyAlignment="1">
      <alignment wrapText="1"/>
    </xf>
    <xf numFmtId="0" fontId="13" fillId="0" borderId="28" xfId="0" applyFont="1" applyBorder="1"/>
    <xf numFmtId="0" fontId="9" fillId="0" borderId="29" xfId="0" applyFont="1" applyBorder="1" applyAlignment="1">
      <alignment vertical="top"/>
    </xf>
    <xf numFmtId="0" fontId="9" fillId="0" borderId="29" xfId="0" applyFont="1" applyBorder="1" applyAlignment="1">
      <alignment vertical="top" wrapText="1"/>
    </xf>
    <xf numFmtId="0" fontId="9" fillId="0" borderId="0" xfId="0" applyFont="1" applyBorder="1" applyAlignment="1">
      <alignment wrapText="1"/>
    </xf>
    <xf numFmtId="0" fontId="30" fillId="0" borderId="4" xfId="0" applyFont="1" applyBorder="1"/>
    <xf numFmtId="0" fontId="16" fillId="0" borderId="0" xfId="0" applyFont="1" applyBorder="1"/>
    <xf numFmtId="0" fontId="9" fillId="0" borderId="4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9" fillId="0" borderId="46" xfId="0" applyNumberFormat="1" applyFont="1" applyBorder="1" applyAlignment="1">
      <alignment shrinkToFit="1"/>
    </xf>
    <xf numFmtId="0" fontId="9" fillId="0" borderId="1" xfId="0" applyFont="1" applyBorder="1" applyAlignment="1"/>
    <xf numFmtId="0" fontId="9" fillId="0" borderId="49" xfId="0" applyNumberFormat="1" applyFont="1" applyBorder="1" applyAlignment="1">
      <alignment shrinkToFit="1"/>
    </xf>
    <xf numFmtId="0" fontId="13" fillId="0" borderId="51" xfId="0" applyFont="1" applyBorder="1" applyAlignment="1">
      <alignment horizontal="center"/>
    </xf>
    <xf numFmtId="0" fontId="9" fillId="0" borderId="14" xfId="0" applyFont="1" applyBorder="1" applyAlignment="1">
      <alignment horizontal="right" vertical="center" wrapText="1"/>
    </xf>
    <xf numFmtId="0" fontId="9" fillId="0" borderId="1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2" xfId="0" applyFont="1" applyBorder="1" applyAlignment="1"/>
    <xf numFmtId="0" fontId="9" fillId="0" borderId="2" xfId="0" applyFont="1" applyBorder="1" applyAlignment="1"/>
    <xf numFmtId="0" fontId="23" fillId="0" borderId="2" xfId="0" applyFont="1" applyFill="1" applyBorder="1" applyAlignment="1">
      <alignment vertical="top" wrapText="1"/>
    </xf>
    <xf numFmtId="0" fontId="23" fillId="4" borderId="12" xfId="0" applyFont="1" applyFill="1" applyBorder="1" applyAlignment="1">
      <alignment vertical="top"/>
    </xf>
    <xf numFmtId="0" fontId="23" fillId="4" borderId="2" xfId="0" applyFont="1" applyFill="1" applyBorder="1" applyAlignment="1">
      <alignment vertical="top" wrapText="1"/>
    </xf>
    <xf numFmtId="0" fontId="23" fillId="4" borderId="17" xfId="0" applyFont="1" applyFill="1" applyBorder="1" applyAlignment="1">
      <alignment vertical="top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Fill="1" applyBorder="1" applyAlignment="1">
      <alignment vertical="center"/>
    </xf>
    <xf numFmtId="0" fontId="9" fillId="0" borderId="32" xfId="0" applyFont="1" applyBorder="1" applyAlignment="1"/>
    <xf numFmtId="0" fontId="9" fillId="0" borderId="26" xfId="0" applyFont="1" applyBorder="1" applyAlignment="1"/>
    <xf numFmtId="49" fontId="9" fillId="0" borderId="54" xfId="0" applyNumberFormat="1" applyFont="1" applyBorder="1" applyAlignment="1">
      <alignment horizontal="center" shrinkToFit="1"/>
    </xf>
    <xf numFmtId="0" fontId="13" fillId="0" borderId="55" xfId="0" applyFont="1" applyBorder="1" applyAlignment="1">
      <alignment horizontal="center"/>
    </xf>
    <xf numFmtId="0" fontId="9" fillId="4" borderId="32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vertical="center" wrapText="1"/>
    </xf>
    <xf numFmtId="0" fontId="9" fillId="4" borderId="35" xfId="0" applyFont="1" applyFill="1" applyBorder="1" applyAlignment="1">
      <alignment vertical="center" wrapText="1"/>
    </xf>
    <xf numFmtId="0" fontId="25" fillId="0" borderId="0" xfId="0" applyFont="1" applyBorder="1" applyAlignment="1">
      <alignment wrapText="1"/>
    </xf>
    <xf numFmtId="0" fontId="9" fillId="0" borderId="6" xfId="0" applyFont="1" applyBorder="1" applyAlignment="1">
      <alignment vertical="center"/>
    </xf>
    <xf numFmtId="0" fontId="9" fillId="0" borderId="44" xfId="0" applyFont="1" applyBorder="1" applyAlignment="1">
      <alignment horizontal="center" vertical="center" shrinkToFit="1"/>
    </xf>
    <xf numFmtId="0" fontId="9" fillId="0" borderId="45" xfId="0" applyFont="1" applyBorder="1" applyAlignment="1">
      <alignment horizontal="center" vertical="center" shrinkToFit="1"/>
    </xf>
    <xf numFmtId="0" fontId="9" fillId="0" borderId="2" xfId="0" applyFont="1" applyBorder="1" applyAlignment="1">
      <alignment vertical="center"/>
    </xf>
    <xf numFmtId="0" fontId="9" fillId="0" borderId="94" xfId="0" applyFont="1" applyBorder="1" applyAlignment="1">
      <alignment horizontal="center" vertical="center" shrinkToFit="1"/>
    </xf>
    <xf numFmtId="0" fontId="9" fillId="0" borderId="6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9" fillId="0" borderId="47" xfId="0" applyFont="1" applyBorder="1" applyAlignment="1">
      <alignment horizontal="center" vertical="center" shrinkToFit="1"/>
    </xf>
    <xf numFmtId="0" fontId="9" fillId="0" borderId="48" xfId="0" applyFont="1" applyBorder="1" applyAlignment="1">
      <alignment horizontal="center" vertical="center" shrinkToFit="1"/>
    </xf>
    <xf numFmtId="0" fontId="9" fillId="0" borderId="95" xfId="0" applyFont="1" applyBorder="1" applyAlignment="1">
      <alignment horizontal="center" vertical="center" shrinkToFit="1"/>
    </xf>
    <xf numFmtId="0" fontId="13" fillId="0" borderId="4" xfId="0" applyFont="1" applyBorder="1" applyAlignment="1">
      <alignment wrapText="1"/>
    </xf>
    <xf numFmtId="0" fontId="13" fillId="0" borderId="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9" fillId="0" borderId="7" xfId="0" applyFont="1" applyBorder="1" applyAlignment="1">
      <alignment vertical="center"/>
    </xf>
    <xf numFmtId="0" fontId="9" fillId="0" borderId="50" xfId="0" applyFont="1" applyBorder="1" applyAlignment="1">
      <alignment horizontal="center" vertical="center" shrinkToFit="1"/>
    </xf>
    <xf numFmtId="0" fontId="9" fillId="0" borderId="51" xfId="0" applyFont="1" applyBorder="1" applyAlignment="1">
      <alignment horizontal="center" vertical="center" shrinkToFit="1"/>
    </xf>
    <xf numFmtId="49" fontId="9" fillId="0" borderId="49" xfId="0" applyNumberFormat="1" applyFont="1" applyBorder="1" applyAlignment="1">
      <alignment vertical="center"/>
    </xf>
    <xf numFmtId="49" fontId="9" fillId="0" borderId="50" xfId="0" applyNumberFormat="1" applyFont="1" applyBorder="1" applyAlignment="1">
      <alignment vertical="center"/>
    </xf>
    <xf numFmtId="49" fontId="9" fillId="0" borderId="96" xfId="0" applyNumberFormat="1" applyFont="1" applyBorder="1" applyAlignment="1">
      <alignment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9" fillId="0" borderId="12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0" fontId="30" fillId="0" borderId="13" xfId="0" applyFont="1" applyBorder="1"/>
    <xf numFmtId="0" fontId="16" fillId="0" borderId="13" xfId="0" applyFont="1" applyBorder="1"/>
    <xf numFmtId="0" fontId="23" fillId="4" borderId="13" xfId="0" applyFont="1" applyFill="1" applyBorder="1" applyAlignment="1">
      <alignment vertical="top" wrapText="1"/>
    </xf>
    <xf numFmtId="0" fontId="23" fillId="4" borderId="0" xfId="0" applyFont="1" applyFill="1" applyBorder="1" applyAlignment="1">
      <alignment vertical="top" wrapText="1"/>
    </xf>
    <xf numFmtId="0" fontId="23" fillId="4" borderId="18" xfId="0" applyFont="1" applyFill="1" applyBorder="1" applyAlignment="1">
      <alignment vertical="top" wrapText="1"/>
    </xf>
    <xf numFmtId="0" fontId="9" fillId="0" borderId="26" xfId="0" applyFont="1" applyBorder="1" applyAlignment="1">
      <alignment horizontal="center" shrinkToFit="1"/>
    </xf>
    <xf numFmtId="0" fontId="9" fillId="0" borderId="26" xfId="0" applyNumberFormat="1" applyFont="1" applyBorder="1"/>
    <xf numFmtId="0" fontId="9" fillId="0" borderId="26" xfId="0" applyNumberFormat="1" applyFont="1" applyBorder="1" applyAlignment="1">
      <alignment horizontal="center"/>
    </xf>
    <xf numFmtId="0" fontId="9" fillId="4" borderId="26" xfId="0" applyFont="1" applyFill="1" applyBorder="1" applyAlignment="1">
      <alignment vertical="top" wrapText="1"/>
    </xf>
    <xf numFmtId="0" fontId="23" fillId="4" borderId="35" xfId="0" applyFont="1" applyFill="1" applyBorder="1" applyAlignment="1">
      <alignment vertical="top" wrapText="1"/>
    </xf>
    <xf numFmtId="0" fontId="25" fillId="0" borderId="1" xfId="0" applyFont="1" applyBorder="1" applyAlignment="1">
      <alignment wrapText="1"/>
    </xf>
    <xf numFmtId="0" fontId="9" fillId="0" borderId="6" xfId="0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96" xfId="0" applyFont="1" applyBorder="1" applyAlignment="1">
      <alignment horizontal="center" vertical="center" shrinkToFit="1"/>
    </xf>
    <xf numFmtId="0" fontId="9" fillId="0" borderId="7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wrapText="1"/>
    </xf>
    <xf numFmtId="0" fontId="9" fillId="0" borderId="0" xfId="0" applyNumberFormat="1" applyFont="1" applyBorder="1" applyAlignment="1">
      <alignment shrinkToFit="1"/>
    </xf>
    <xf numFmtId="0" fontId="9" fillId="0" borderId="26" xfId="0" applyNumberFormat="1" applyFont="1" applyBorder="1" applyAlignment="1">
      <alignment shrinkToFit="1"/>
    </xf>
    <xf numFmtId="0" fontId="9" fillId="0" borderId="35" xfId="0" applyNumberFormat="1" applyFont="1" applyBorder="1" applyAlignment="1">
      <alignment horizontal="center" shrinkToFit="1"/>
    </xf>
    <xf numFmtId="0" fontId="9" fillId="0" borderId="29" xfId="0" applyFont="1" applyBorder="1" applyAlignment="1">
      <alignment horizontal="right" wrapText="1"/>
    </xf>
    <xf numFmtId="0" fontId="9" fillId="0" borderId="0" xfId="0" applyFont="1" applyBorder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9" fillId="0" borderId="7" xfId="0" applyFont="1" applyBorder="1" applyAlignment="1">
      <alignment horizontal="right" vertical="center" wrapText="1"/>
    </xf>
    <xf numFmtId="0" fontId="9" fillId="0" borderId="6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3" fillId="0" borderId="6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6" fillId="0" borderId="4" xfId="0" applyFont="1" applyBorder="1"/>
    <xf numFmtId="0" fontId="9" fillId="0" borderId="3" xfId="0" applyFont="1" applyBorder="1" applyAlignment="1">
      <alignment vertical="top" wrapText="1"/>
    </xf>
    <xf numFmtId="49" fontId="9" fillId="0" borderId="2" xfId="0" applyNumberFormat="1" applyFont="1" applyBorder="1"/>
    <xf numFmtId="49" fontId="9" fillId="0" borderId="17" xfId="0" applyNumberFormat="1" applyFont="1" applyBorder="1"/>
    <xf numFmtId="0" fontId="23" fillId="4" borderId="2" xfId="0" applyFont="1" applyFill="1" applyBorder="1" applyAlignment="1">
      <alignment vertical="top"/>
    </xf>
    <xf numFmtId="0" fontId="9" fillId="0" borderId="26" xfId="0" applyFont="1" applyBorder="1" applyAlignment="1">
      <alignment vertical="center"/>
    </xf>
    <xf numFmtId="0" fontId="9" fillId="0" borderId="54" xfId="0" applyFont="1" applyBorder="1" applyAlignment="1">
      <alignment horizontal="center" vertical="center" shrinkToFit="1"/>
    </xf>
    <xf numFmtId="0" fontId="9" fillId="0" borderId="55" xfId="0" applyFont="1" applyBorder="1" applyAlignment="1">
      <alignment horizontal="center" vertical="center" shrinkToFit="1"/>
    </xf>
    <xf numFmtId="0" fontId="9" fillId="4" borderId="26" xfId="0" applyFont="1" applyFill="1" applyBorder="1" applyAlignment="1">
      <alignment horizontal="center" vertical="center" wrapText="1"/>
    </xf>
    <xf numFmtId="0" fontId="23" fillId="4" borderId="26" xfId="0" applyFont="1" applyFill="1" applyBorder="1" applyAlignment="1">
      <alignment vertical="top" wrapText="1"/>
    </xf>
    <xf numFmtId="0" fontId="0" fillId="0" borderId="0" xfId="0" applyFill="1"/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76" fontId="9" fillId="0" borderId="26" xfId="0" applyNumberFormat="1" applyFont="1" applyBorder="1" applyAlignment="1">
      <alignment horizontal="right"/>
    </xf>
    <xf numFmtId="0" fontId="9" fillId="0" borderId="54" xfId="0" applyFont="1" applyBorder="1" applyAlignment="1">
      <alignment shrinkToFit="1"/>
    </xf>
    <xf numFmtId="0" fontId="9" fillId="0" borderId="53" xfId="0" applyNumberFormat="1" applyFont="1" applyBorder="1" applyAlignment="1">
      <alignment shrinkToFit="1"/>
    </xf>
    <xf numFmtId="0" fontId="9" fillId="0" borderId="28" xfId="0" applyFont="1" applyBorder="1" applyAlignment="1">
      <alignment vertical="top" wrapText="1"/>
    </xf>
    <xf numFmtId="0" fontId="9" fillId="0" borderId="26" xfId="0" applyFont="1" applyBorder="1" applyAlignment="1">
      <alignment horizontal="right"/>
    </xf>
    <xf numFmtId="0" fontId="31" fillId="0" borderId="0" xfId="0" applyFont="1" applyAlignment="1">
      <alignment vertical="center"/>
    </xf>
    <xf numFmtId="0" fontId="9" fillId="0" borderId="8" xfId="0" applyFont="1" applyBorder="1"/>
    <xf numFmtId="0" fontId="9" fillId="0" borderId="88" xfId="0" applyFont="1" applyBorder="1"/>
    <xf numFmtId="0" fontId="9" fillId="0" borderId="88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9" fillId="0" borderId="33" xfId="0" applyFont="1" applyBorder="1" applyAlignment="1"/>
    <xf numFmtId="0" fontId="9" fillId="0" borderId="90" xfId="0" applyFont="1" applyBorder="1" applyAlignment="1">
      <alignment horizontal="center"/>
    </xf>
    <xf numFmtId="0" fontId="9" fillId="0" borderId="43" xfId="0" applyFont="1" applyBorder="1" applyAlignment="1">
      <alignment horizontal="left"/>
    </xf>
    <xf numFmtId="0" fontId="9" fillId="0" borderId="44" xfId="0" applyFont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0" borderId="46" xfId="0" applyFont="1" applyBorder="1" applyAlignment="1">
      <alignment horizontal="left"/>
    </xf>
    <xf numFmtId="0" fontId="9" fillId="0" borderId="66" xfId="0" applyFont="1" applyBorder="1" applyAlignment="1">
      <alignment horizontal="center"/>
    </xf>
    <xf numFmtId="0" fontId="9" fillId="0" borderId="49" xfId="0" applyFont="1" applyBorder="1" applyAlignment="1">
      <alignment horizontal="left"/>
    </xf>
    <xf numFmtId="0" fontId="16" fillId="0" borderId="14" xfId="0" applyFont="1" applyBorder="1" applyAlignment="1">
      <alignment horizontal="right" wrapText="1"/>
    </xf>
    <xf numFmtId="0" fontId="9" fillId="0" borderId="43" xfId="0" applyFont="1" applyFill="1" applyBorder="1"/>
    <xf numFmtId="0" fontId="9" fillId="0" borderId="44" xfId="0" applyFont="1" applyFill="1" applyBorder="1" applyAlignment="1">
      <alignment horizontal="center"/>
    </xf>
    <xf numFmtId="0" fontId="9" fillId="0" borderId="46" xfId="0" applyFont="1" applyFill="1" applyBorder="1"/>
    <xf numFmtId="0" fontId="9" fillId="0" borderId="47" xfId="0" applyFont="1" applyFill="1" applyBorder="1" applyAlignment="1">
      <alignment horizontal="center"/>
    </xf>
    <xf numFmtId="0" fontId="9" fillId="0" borderId="50" xfId="0" applyFont="1" applyBorder="1"/>
    <xf numFmtId="0" fontId="9" fillId="0" borderId="56" xfId="0" applyFont="1" applyBorder="1" applyAlignment="1">
      <alignment horizontal="left"/>
    </xf>
    <xf numFmtId="0" fontId="9" fillId="0" borderId="93" xfId="0" applyFont="1" applyBorder="1" applyAlignment="1"/>
    <xf numFmtId="0" fontId="9" fillId="0" borderId="38" xfId="0" applyFont="1" applyBorder="1"/>
    <xf numFmtId="0" fontId="9" fillId="0" borderId="4" xfId="0" applyFont="1" applyBorder="1"/>
    <xf numFmtId="0" fontId="9" fillId="0" borderId="57" xfId="0" applyFont="1" applyBorder="1"/>
    <xf numFmtId="0" fontId="9" fillId="0" borderId="58" xfId="0" applyFont="1" applyBorder="1" applyAlignment="1">
      <alignment horizontal="center"/>
    </xf>
    <xf numFmtId="0" fontId="9" fillId="0" borderId="59" xfId="0" applyFont="1" applyBorder="1"/>
    <xf numFmtId="0" fontId="9" fillId="0" borderId="61" xfId="0" applyFont="1" applyBorder="1"/>
    <xf numFmtId="0" fontId="9" fillId="0" borderId="49" xfId="0" applyFont="1" applyBorder="1"/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wrapText="1"/>
    </xf>
    <xf numFmtId="0" fontId="22" fillId="0" borderId="30" xfId="0" applyFont="1" applyBorder="1" applyAlignment="1">
      <alignment vertical="center"/>
    </xf>
    <xf numFmtId="0" fontId="9" fillId="4" borderId="55" xfId="0" applyFont="1" applyFill="1" applyBorder="1" applyAlignment="1">
      <alignment horizontal="center"/>
    </xf>
    <xf numFmtId="0" fontId="14" fillId="0" borderId="0" xfId="0" applyFont="1" applyFill="1" applyBorder="1" applyAlignment="1">
      <alignment vertical="center" wrapText="1"/>
    </xf>
    <xf numFmtId="0" fontId="9" fillId="0" borderId="63" xfId="0" applyFont="1" applyBorder="1" applyAlignment="1">
      <alignment horizontal="center"/>
    </xf>
    <xf numFmtId="0" fontId="9" fillId="0" borderId="28" xfId="0" applyFont="1" applyBorder="1" applyAlignment="1">
      <alignment vertical="top"/>
    </xf>
    <xf numFmtId="0" fontId="9" fillId="0" borderId="6" xfId="0" applyFont="1" applyBorder="1"/>
    <xf numFmtId="0" fontId="9" fillId="0" borderId="94" xfId="0" applyFont="1" applyBorder="1" applyAlignment="1">
      <alignment horizontal="center" shrinkToFit="1"/>
    </xf>
    <xf numFmtId="0" fontId="9" fillId="0" borderId="95" xfId="0" applyFont="1" applyBorder="1" applyAlignment="1">
      <alignment horizontal="center" shrinkToFit="1"/>
    </xf>
    <xf numFmtId="0" fontId="9" fillId="0" borderId="7" xfId="0" applyFont="1" applyBorder="1"/>
    <xf numFmtId="49" fontId="9" fillId="0" borderId="49" xfId="0" applyNumberFormat="1" applyFont="1" applyBorder="1"/>
    <xf numFmtId="49" fontId="9" fillId="0" borderId="50" xfId="0" applyNumberFormat="1" applyFont="1" applyBorder="1"/>
    <xf numFmtId="49" fontId="9" fillId="0" borderId="96" xfId="0" applyNumberFormat="1" applyFont="1" applyBorder="1"/>
    <xf numFmtId="0" fontId="9" fillId="0" borderId="56" xfId="0" applyNumberFormat="1" applyFont="1" applyBorder="1"/>
    <xf numFmtId="0" fontId="9" fillId="0" borderId="54" xfId="0" applyNumberFormat="1" applyFont="1" applyBorder="1" applyAlignment="1">
      <alignment horizontal="center"/>
    </xf>
    <xf numFmtId="0" fontId="9" fillId="0" borderId="55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96" xfId="0" applyFont="1" applyBorder="1" applyAlignment="1">
      <alignment horizontal="center" shrinkToFit="1"/>
    </xf>
    <xf numFmtId="0" fontId="9" fillId="0" borderId="54" xfId="0" applyNumberFormat="1" applyFont="1" applyBorder="1" applyAlignment="1">
      <alignment horizontal="center" shrinkToFit="1"/>
    </xf>
    <xf numFmtId="0" fontId="9" fillId="0" borderId="55" xfId="0" applyNumberFormat="1" applyFont="1" applyBorder="1" applyAlignment="1">
      <alignment horizontal="center" shrinkToFit="1"/>
    </xf>
    <xf numFmtId="0" fontId="9" fillId="0" borderId="43" xfId="0" applyNumberFormat="1" applyFont="1" applyBorder="1"/>
    <xf numFmtId="0" fontId="9" fillId="0" borderId="44" xfId="0" applyNumberFormat="1" applyFont="1" applyBorder="1" applyAlignment="1">
      <alignment horizontal="center"/>
    </xf>
    <xf numFmtId="0" fontId="9" fillId="0" borderId="94" xfId="0" applyNumberFormat="1" applyFont="1" applyBorder="1" applyAlignment="1">
      <alignment horizontal="center"/>
    </xf>
    <xf numFmtId="0" fontId="9" fillId="0" borderId="49" xfId="0" applyNumberFormat="1" applyFont="1" applyBorder="1"/>
    <xf numFmtId="49" fontId="9" fillId="0" borderId="96" xfId="0" applyNumberFormat="1" applyFont="1" applyBorder="1" applyAlignment="1">
      <alignment horizontal="center"/>
    </xf>
    <xf numFmtId="0" fontId="9" fillId="0" borderId="98" xfId="0" applyFont="1" applyBorder="1"/>
    <xf numFmtId="49" fontId="9" fillId="0" borderId="43" xfId="0" applyNumberFormat="1" applyFont="1" applyBorder="1"/>
    <xf numFmtId="49" fontId="9" fillId="0" borderId="44" xfId="0" applyNumberFormat="1" applyFont="1" applyBorder="1" applyAlignment="1">
      <alignment horizontal="center"/>
    </xf>
    <xf numFmtId="49" fontId="9" fillId="0" borderId="50" xfId="0" applyNumberFormat="1" applyFont="1" applyBorder="1" applyAlignment="1">
      <alignment horizontal="center"/>
    </xf>
    <xf numFmtId="49" fontId="9" fillId="0" borderId="47" xfId="0" applyNumberFormat="1" applyFont="1" applyBorder="1" applyAlignment="1">
      <alignment horizontal="center" shrinkToFit="1"/>
    </xf>
    <xf numFmtId="0" fontId="13" fillId="0" borderId="95" xfId="0" applyFont="1" applyBorder="1" applyAlignment="1">
      <alignment horizontal="center"/>
    </xf>
    <xf numFmtId="0" fontId="13" fillId="0" borderId="96" xfId="0" applyFont="1" applyBorder="1" applyAlignment="1">
      <alignment horizont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9" fillId="0" borderId="74" xfId="0" applyFont="1" applyBorder="1" applyAlignment="1">
      <alignment horizontal="left" vertical="center" wrapText="1"/>
    </xf>
    <xf numFmtId="0" fontId="9" fillId="0" borderId="75" xfId="0" applyFont="1" applyBorder="1" applyAlignment="1">
      <alignment horizontal="left" vertical="center" wrapText="1"/>
    </xf>
    <xf numFmtId="0" fontId="9" fillId="0" borderId="83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75" xfId="0" applyFont="1" applyFill="1" applyBorder="1" applyAlignment="1">
      <alignment horizontal="center" vertical="center" wrapText="1"/>
    </xf>
    <xf numFmtId="0" fontId="9" fillId="0" borderId="76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82" xfId="0" applyFont="1" applyFill="1" applyBorder="1" applyAlignment="1">
      <alignment horizontal="center" vertical="center" wrapText="1"/>
    </xf>
    <xf numFmtId="0" fontId="9" fillId="0" borderId="77" xfId="0" applyFont="1" applyBorder="1" applyAlignment="1">
      <alignment horizontal="left" vertical="center" wrapText="1"/>
    </xf>
    <xf numFmtId="0" fontId="9" fillId="0" borderId="78" xfId="0" applyFont="1" applyBorder="1" applyAlignment="1">
      <alignment horizontal="left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82" xfId="0" applyFont="1" applyFill="1" applyBorder="1" applyAlignment="1">
      <alignment horizontal="center" vertical="center"/>
    </xf>
    <xf numFmtId="0" fontId="9" fillId="0" borderId="78" xfId="0" applyFont="1" applyFill="1" applyBorder="1" applyAlignment="1">
      <alignment horizontal="center" vertical="center"/>
    </xf>
    <xf numFmtId="0" fontId="9" fillId="0" borderId="79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 shrinkToFit="1"/>
    </xf>
    <xf numFmtId="0" fontId="22" fillId="0" borderId="23" xfId="0" applyFont="1" applyBorder="1" applyAlignment="1">
      <alignment horizontal="center" shrinkToFit="1"/>
    </xf>
    <xf numFmtId="0" fontId="13" fillId="0" borderId="12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5" borderId="33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14" fillId="5" borderId="38" xfId="0" applyFont="1" applyFill="1" applyBorder="1" applyAlignment="1">
      <alignment horizontal="center"/>
    </xf>
    <xf numFmtId="0" fontId="9" fillId="5" borderId="33" xfId="0" applyFont="1" applyFill="1" applyBorder="1" applyAlignment="1">
      <alignment horizontal="center"/>
    </xf>
    <xf numFmtId="0" fontId="9" fillId="5" borderId="34" xfId="0" applyFont="1" applyFill="1" applyBorder="1" applyAlignment="1">
      <alignment horizontal="center"/>
    </xf>
    <xf numFmtId="0" fontId="9" fillId="0" borderId="36" xfId="0" applyFont="1" applyBorder="1" applyAlignment="1">
      <alignment horizontal="center" vertical="center" textRotation="255"/>
    </xf>
    <xf numFmtId="0" fontId="9" fillId="0" borderId="15" xfId="0" applyFont="1" applyBorder="1" applyAlignment="1">
      <alignment horizontal="center" vertical="center" textRotation="255"/>
    </xf>
    <xf numFmtId="0" fontId="22" fillId="0" borderId="21" xfId="0" applyFont="1" applyBorder="1" applyAlignment="1">
      <alignment horizontal="left" shrinkToFit="1"/>
    </xf>
    <xf numFmtId="0" fontId="22" fillId="0" borderId="22" xfId="0" applyFont="1" applyBorder="1" applyAlignment="1">
      <alignment horizontal="left" shrinkToFit="1"/>
    </xf>
    <xf numFmtId="0" fontId="22" fillId="0" borderId="2" xfId="0" applyFont="1" applyBorder="1" applyAlignment="1">
      <alignment horizontal="left" shrinkToFit="1"/>
    </xf>
    <xf numFmtId="0" fontId="22" fillId="0" borderId="17" xfId="0" applyFont="1" applyBorder="1" applyAlignment="1">
      <alignment horizontal="left" shrinkToFit="1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23" fillId="5" borderId="33" xfId="0" applyFont="1" applyFill="1" applyBorder="1" applyAlignment="1">
      <alignment horizontal="center"/>
    </xf>
    <xf numFmtId="0" fontId="23" fillId="5" borderId="34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8" fillId="4" borderId="33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87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85" xfId="0" applyFont="1" applyBorder="1" applyAlignment="1">
      <alignment horizontal="left" vertical="center"/>
    </xf>
    <xf numFmtId="0" fontId="9" fillId="0" borderId="84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8" xfId="0" applyBorder="1" applyAlignment="1">
      <alignment horizontal="left"/>
    </xf>
    <xf numFmtId="0" fontId="25" fillId="0" borderId="36" xfId="0" applyFont="1" applyBorder="1" applyAlignment="1">
      <alignment horizontal="center" vertical="center" wrapText="1" shrinkToFit="1"/>
    </xf>
    <xf numFmtId="0" fontId="15" fillId="0" borderId="15" xfId="0" applyFont="1" applyBorder="1" applyAlignment="1">
      <alignment horizontal="center" vertical="center" wrapText="1" shrinkToFit="1"/>
    </xf>
    <xf numFmtId="0" fontId="9" fillId="0" borderId="36" xfId="0" applyFont="1" applyBorder="1" applyAlignment="1">
      <alignment horizontal="center" vertical="center" wrapText="1" shrinkToFit="1"/>
    </xf>
    <xf numFmtId="0" fontId="9" fillId="0" borderId="15" xfId="0" applyFont="1" applyBorder="1" applyAlignment="1">
      <alignment horizontal="center" vertical="center" wrapText="1" shrinkToFit="1"/>
    </xf>
    <xf numFmtId="0" fontId="9" fillId="0" borderId="12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38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right" wrapText="1"/>
    </xf>
    <xf numFmtId="0" fontId="14" fillId="0" borderId="0" xfId="0" applyFont="1" applyFill="1" applyBorder="1" applyAlignment="1">
      <alignment horizontal="center" vertical="center" wrapText="1"/>
    </xf>
    <xf numFmtId="0" fontId="9" fillId="0" borderId="70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left" vertical="center" wrapText="1"/>
    </xf>
    <xf numFmtId="0" fontId="9" fillId="0" borderId="72" xfId="0" applyFont="1" applyBorder="1" applyAlignment="1">
      <alignment horizontal="left" vertical="center" wrapText="1"/>
    </xf>
    <xf numFmtId="0" fontId="9" fillId="0" borderId="81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/>
    </xf>
    <xf numFmtId="0" fontId="9" fillId="0" borderId="88" xfId="0" applyFont="1" applyBorder="1" applyAlignment="1">
      <alignment horizontal="left"/>
    </xf>
    <xf numFmtId="0" fontId="9" fillId="0" borderId="62" xfId="0" applyFont="1" applyBorder="1" applyAlignment="1">
      <alignment horizontal="left"/>
    </xf>
    <xf numFmtId="0" fontId="9" fillId="0" borderId="8" xfId="0" applyFont="1" applyBorder="1" applyAlignment="1">
      <alignment horizontal="left" shrinkToFit="1"/>
    </xf>
    <xf numFmtId="0" fontId="9" fillId="0" borderId="88" xfId="0" applyFont="1" applyBorder="1" applyAlignment="1">
      <alignment horizontal="left" shrinkToFit="1"/>
    </xf>
    <xf numFmtId="0" fontId="9" fillId="0" borderId="62" xfId="0" applyFont="1" applyBorder="1" applyAlignment="1">
      <alignment horizontal="left" shrinkToFit="1"/>
    </xf>
    <xf numFmtId="0" fontId="9" fillId="0" borderId="70" xfId="0" applyFont="1" applyBorder="1" applyAlignment="1">
      <alignment horizontal="left" vertical="center"/>
    </xf>
    <xf numFmtId="0" fontId="9" fillId="0" borderId="80" xfId="0" applyFont="1" applyBorder="1" applyAlignment="1">
      <alignment horizontal="left" vertical="center"/>
    </xf>
    <xf numFmtId="0" fontId="9" fillId="0" borderId="72" xfId="0" applyFont="1" applyBorder="1" applyAlignment="1">
      <alignment horizontal="left" vertical="center"/>
    </xf>
    <xf numFmtId="0" fontId="9" fillId="0" borderId="81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shrinkToFi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1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9" fillId="0" borderId="100" xfId="0" applyFont="1" applyBorder="1" applyAlignment="1">
      <alignment horizontal="left" vertical="center" wrapText="1"/>
    </xf>
    <xf numFmtId="0" fontId="9" fillId="0" borderId="10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89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01" xfId="0" applyFont="1" applyFill="1" applyBorder="1" applyAlignment="1">
      <alignment horizontal="center" vertical="center"/>
    </xf>
    <xf numFmtId="0" fontId="9" fillId="0" borderId="102" xfId="0" applyFont="1" applyFill="1" applyBorder="1" applyAlignment="1">
      <alignment horizontal="center" vertical="center"/>
    </xf>
    <xf numFmtId="0" fontId="9" fillId="0" borderId="89" xfId="0" applyFont="1" applyFill="1" applyBorder="1" applyAlignment="1">
      <alignment horizontal="center" vertical="center"/>
    </xf>
    <xf numFmtId="0" fontId="9" fillId="0" borderId="99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9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11</xdr:row>
      <xdr:rowOff>28575</xdr:rowOff>
    </xdr:from>
    <xdr:to>
      <xdr:col>1</xdr:col>
      <xdr:colOff>486000</xdr:colOff>
      <xdr:row>13</xdr:row>
      <xdr:rowOff>180975</xdr:rowOff>
    </xdr:to>
    <xdr:sp macro="" textlink="">
      <xdr:nvSpPr>
        <xdr:cNvPr id="2" name="テキスト ボックス 1"/>
        <xdr:cNvSpPr txBox="1"/>
      </xdr:nvSpPr>
      <xdr:spPr>
        <a:xfrm>
          <a:off x="419100" y="2190750"/>
          <a:ext cx="457425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/>
        <a:lstStyle/>
        <a:p>
          <a:pPr>
            <a:lnSpc>
              <a:spcPts val="780"/>
            </a:lnSpc>
          </a:pPr>
          <a:r>
            <a:rPr kumimoji="1" lang="en-US" altLang="ja-JP" sz="900"/>
            <a:t>Humanities  &amp; SocialSciences</a:t>
          </a:r>
          <a:endParaRPr kumimoji="1" lang="ja-JP" alt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T121"/>
  <sheetViews>
    <sheetView tabSelected="1" view="pageLayout" zoomScaleNormal="100" zoomScaleSheetLayoutView="100" workbookViewId="0">
      <selection activeCell="C1" sqref="C1"/>
    </sheetView>
  </sheetViews>
  <sheetFormatPr defaultRowHeight="13.5" x14ac:dyDescent="0.15"/>
  <cols>
    <col min="1" max="1" width="5.125" style="83" customWidth="1"/>
    <col min="2" max="2" width="4.125" style="83" customWidth="1"/>
    <col min="3" max="3" width="29.375" style="83" customWidth="1"/>
    <col min="4" max="4" width="5.625" style="83" customWidth="1"/>
    <col min="5" max="5" width="3.625" style="83" customWidth="1"/>
    <col min="6" max="6" width="32.125" style="83" customWidth="1"/>
    <col min="7" max="7" width="5.625" style="83" customWidth="1"/>
    <col min="8" max="8" width="3.625" style="83" customWidth="1"/>
    <col min="9" max="9" width="7.625" style="83" customWidth="1"/>
    <col min="10" max="10" width="8.625" style="83" customWidth="1"/>
    <col min="11" max="12" width="3.625" style="83" customWidth="1"/>
    <col min="13" max="13" width="36.625" style="83" customWidth="1"/>
    <col min="14" max="15" width="5.625" style="83" customWidth="1"/>
    <col min="16" max="16" width="9.625" style="83" customWidth="1"/>
    <col min="17" max="17" width="5.625" style="83" customWidth="1"/>
    <col min="18" max="18" width="9.625" style="83" customWidth="1"/>
    <col min="19" max="19" width="8.75" style="83" customWidth="1"/>
    <col min="20" max="20" width="5.875" style="83" customWidth="1"/>
    <col min="21" max="21" width="5.5" style="83" customWidth="1"/>
    <col min="22" max="22" width="3.625" style="83" customWidth="1"/>
    <col min="23" max="16384" width="9" style="83"/>
  </cols>
  <sheetData>
    <row r="1" spans="2:20" ht="20.100000000000001" customHeight="1" x14ac:dyDescent="0.25">
      <c r="B1" s="80" t="s">
        <v>203</v>
      </c>
      <c r="C1" s="81"/>
      <c r="D1" s="81"/>
      <c r="E1" s="82"/>
      <c r="F1" s="82"/>
      <c r="H1" s="82"/>
      <c r="I1" s="44"/>
      <c r="K1" s="84"/>
      <c r="L1" s="85" t="s">
        <v>85</v>
      </c>
      <c r="M1" s="446" t="str">
        <f>IF(入力用!C3="","",入力用!C3)</f>
        <v/>
      </c>
      <c r="Q1" s="87"/>
      <c r="R1" s="87"/>
      <c r="S1" s="88"/>
      <c r="T1" s="88"/>
    </row>
    <row r="2" spans="2:20" ht="20.100000000000001" customHeight="1" x14ac:dyDescent="0.15">
      <c r="B2" s="447" t="s">
        <v>26</v>
      </c>
      <c r="C2" s="89"/>
      <c r="D2" s="89"/>
      <c r="E2" s="90"/>
      <c r="F2" s="90"/>
      <c r="H2" s="90"/>
      <c r="I2" s="91"/>
      <c r="K2" s="87"/>
      <c r="L2" s="85" t="s">
        <v>84</v>
      </c>
      <c r="M2" s="446" t="str">
        <f>IF(入力用!C4="","",入力用!C4)</f>
        <v/>
      </c>
      <c r="S2" s="87"/>
    </row>
    <row r="3" spans="2:20" ht="14.1" customHeight="1" x14ac:dyDescent="0.15">
      <c r="I3" s="87"/>
      <c r="K3" s="87"/>
      <c r="L3" s="92" t="s">
        <v>86</v>
      </c>
      <c r="M3" s="442" t="str">
        <f>IF(入力用!C5="","",入力用!C5)</f>
        <v/>
      </c>
      <c r="S3" s="87"/>
    </row>
    <row r="4" spans="2:20" ht="14.25" x14ac:dyDescent="0.15">
      <c r="B4" s="93" t="s">
        <v>0</v>
      </c>
      <c r="E4" s="83" t="s">
        <v>106</v>
      </c>
      <c r="S4" s="87"/>
    </row>
    <row r="5" spans="2:20" ht="14.25" thickBot="1" x14ac:dyDescent="0.2">
      <c r="B5" s="94" t="s">
        <v>3</v>
      </c>
      <c r="M5" s="94" t="s">
        <v>7</v>
      </c>
      <c r="O5" s="567" t="s">
        <v>34</v>
      </c>
      <c r="P5" s="568"/>
      <c r="Q5" s="563" t="s">
        <v>38</v>
      </c>
      <c r="R5" s="564"/>
      <c r="S5" s="87"/>
      <c r="T5" s="95"/>
    </row>
    <row r="6" spans="2:20" ht="14.25" customHeight="1" thickBot="1" x14ac:dyDescent="0.2">
      <c r="B6" s="448" t="s">
        <v>68</v>
      </c>
      <c r="C6" s="449"/>
      <c r="D6" s="449"/>
      <c r="E6" s="450"/>
      <c r="F6" s="451"/>
      <c r="G6" s="96">
        <v>1</v>
      </c>
      <c r="H6" s="97" t="str">
        <f>IF(入力用!F16="✓","✓","□")</f>
        <v>□</v>
      </c>
      <c r="I6" s="98"/>
      <c r="J6" s="452" t="s">
        <v>59</v>
      </c>
      <c r="M6" s="453" t="str">
        <f>IF(入力用!C89="","〔　　　　　　　　　　　　　　　　   　　　　　　　　〕",入力用!C89)</f>
        <v>〔　　　　　　　　　　　　　　　　   　　　　　　　　〕</v>
      </c>
      <c r="N6" s="454" t="str">
        <f>IF(入力用!D89="","（　　）",入力用!D89)</f>
        <v>（　　）</v>
      </c>
      <c r="O6" s="555" t="str">
        <f>IF(入力用!G89="","□",入力用!G89)</f>
        <v>□</v>
      </c>
      <c r="P6" s="556" t="str">
        <f>IF(入力用!E89="","（　　）",入力用!E89)</f>
        <v>（　　）</v>
      </c>
      <c r="Q6" s="565" t="str">
        <f>IF(入力用!H89="","□",入力用!H89)</f>
        <v>□</v>
      </c>
      <c r="R6" s="566" t="str">
        <f>IF(入力用!G89="","（　　）",入力用!G89)</f>
        <v>（　　）</v>
      </c>
      <c r="S6" s="87"/>
      <c r="T6" s="100"/>
    </row>
    <row r="7" spans="2:20" x14ac:dyDescent="0.15">
      <c r="M7" s="453" t="str">
        <f>IF(入力用!C90="","〔　　　　　　　　　　　　　　　　   　　　　　　　　〕",入力用!C90)</f>
        <v>〔　　　　　　　　　　　　　　　　   　　　　　　　　〕</v>
      </c>
      <c r="N7" s="454" t="str">
        <f>IF(入力用!D90="","（　　）",入力用!D90)</f>
        <v>（　　）</v>
      </c>
      <c r="O7" s="555" t="str">
        <f>IF(入力用!G90="","□",入力用!G90)</f>
        <v>□</v>
      </c>
      <c r="P7" s="556" t="str">
        <f>IF(入力用!E90="","（　　）",入力用!E90)</f>
        <v>（　　）</v>
      </c>
      <c r="Q7" s="565" t="str">
        <f>IF(入力用!H90="","□",入力用!H90)</f>
        <v>□</v>
      </c>
      <c r="R7" s="566" t="str">
        <f>IF(入力用!G90="","（　　）",入力用!G90)</f>
        <v>（　　）</v>
      </c>
      <c r="S7" s="87"/>
      <c r="T7" s="101"/>
    </row>
    <row r="8" spans="2:20" ht="13.5" customHeight="1" thickBot="1" x14ac:dyDescent="0.2">
      <c r="B8" s="94" t="s">
        <v>8</v>
      </c>
      <c r="M8" s="453" t="str">
        <f>IF(入力用!C91="","〔　　　　　　　　　　　　　　　　   　　　　　　　　〕",入力用!C91)</f>
        <v>〔　　　　　　　　　　　　　　　　   　　　　　　　　〕</v>
      </c>
      <c r="N8" s="454" t="str">
        <f>IF(入力用!D91="","（　　）",入力用!D91)</f>
        <v>（　　）</v>
      </c>
      <c r="O8" s="555" t="str">
        <f>IF(入力用!G91="","□",入力用!G91)</f>
        <v>□</v>
      </c>
      <c r="P8" s="556" t="str">
        <f>IF(入力用!E91="","（　　）",入力用!E91)</f>
        <v>（　　）</v>
      </c>
      <c r="Q8" s="565" t="str">
        <f>IF(入力用!H91="","□",入力用!H91)</f>
        <v>□</v>
      </c>
      <c r="R8" s="566" t="str">
        <f>IF(入力用!G91="","（　　）",入力用!G91)</f>
        <v>（　　）</v>
      </c>
      <c r="S8" s="87"/>
      <c r="T8" s="100"/>
    </row>
    <row r="9" spans="2:20" ht="14.25" customHeight="1" thickBot="1" x14ac:dyDescent="0.2">
      <c r="B9" s="448" t="s">
        <v>69</v>
      </c>
      <c r="C9" s="449"/>
      <c r="D9" s="449"/>
      <c r="E9" s="450"/>
      <c r="F9" s="451"/>
      <c r="G9" s="96">
        <v>2.5</v>
      </c>
      <c r="H9" s="97" t="str">
        <f>IF(入力用!F17="✓","✓","□")</f>
        <v>□</v>
      </c>
      <c r="I9" s="98"/>
      <c r="J9" s="452" t="s">
        <v>59</v>
      </c>
      <c r="M9" s="453" t="str">
        <f>IF(入力用!C92="","〔　　　　　　　　　　　　　　　　   　　　　　　　　〕",入力用!C92)</f>
        <v>〔　　　　　　　　　　　　　　　　   　　　　　　　　〕</v>
      </c>
      <c r="N9" s="454" t="str">
        <f>IF(入力用!D92="","（　　）",入力用!D92)</f>
        <v>（　　）</v>
      </c>
      <c r="O9" s="555" t="str">
        <f>IF(入力用!G92="","□",入力用!G92)</f>
        <v>□</v>
      </c>
      <c r="P9" s="556" t="str">
        <f>IF(入力用!E92="","（　　）",入力用!E92)</f>
        <v>（　　）</v>
      </c>
      <c r="Q9" s="565" t="str">
        <f>IF(入力用!H92="","□",入力用!H92)</f>
        <v>□</v>
      </c>
      <c r="R9" s="566" t="str">
        <f>IF(入力用!G92="","（　　）",入力用!G92)</f>
        <v>（　　）</v>
      </c>
      <c r="S9" s="87"/>
      <c r="T9" s="100"/>
    </row>
    <row r="10" spans="2:20" x14ac:dyDescent="0.15">
      <c r="M10" s="453" t="str">
        <f>IF(入力用!C93="","〔　　　　　　　　　　　　　　　　   　　　　　　　　〕",入力用!C93)</f>
        <v>〔　　　　　　　　　　　　　　　　   　　　　　　　　〕</v>
      </c>
      <c r="N10" s="454" t="str">
        <f>IF(入力用!D93="","（　　）",入力用!D93)</f>
        <v>（　　）</v>
      </c>
      <c r="O10" s="555" t="str">
        <f>IF(入力用!G93="","□",入力用!G93)</f>
        <v>□</v>
      </c>
      <c r="P10" s="556" t="str">
        <f>IF(入力用!E93="","（　　）",入力用!E93)</f>
        <v>（　　）</v>
      </c>
      <c r="Q10" s="565" t="str">
        <f>IF(入力用!H93="","□",入力用!H93)</f>
        <v>□</v>
      </c>
      <c r="R10" s="566" t="str">
        <f>IF(入力用!G93="","（　　）",入力用!G93)</f>
        <v>（　　）</v>
      </c>
      <c r="S10" s="87"/>
      <c r="T10" s="100"/>
    </row>
    <row r="11" spans="2:20" ht="14.25" thickBot="1" x14ac:dyDescent="0.2">
      <c r="B11" s="94" t="s">
        <v>9</v>
      </c>
      <c r="M11" s="453" t="str">
        <f>IF(入力用!C94="","〔　　　　　　　　　　　　　　　　   　　　　　　　　〕",入力用!C94)</f>
        <v>〔　　　　　　　　　　　　　　　　   　　　　　　　　〕</v>
      </c>
      <c r="N11" s="454" t="str">
        <f>IF(入力用!D94="","（　　）",入力用!D94)</f>
        <v>（　　）</v>
      </c>
      <c r="O11" s="555" t="str">
        <f>IF(入力用!G94="","□",入力用!G94)</f>
        <v>□</v>
      </c>
      <c r="P11" s="556" t="str">
        <f>IF(入力用!E94="","（　　）",入力用!E94)</f>
        <v>（　　）</v>
      </c>
      <c r="Q11" s="565" t="str">
        <f>IF(入力用!H94="","□",入力用!H94)</f>
        <v>□</v>
      </c>
      <c r="R11" s="566" t="str">
        <f>IF(入力用!G94="","（　　）",入力用!G94)</f>
        <v>（　　）</v>
      </c>
      <c r="S11" s="87"/>
      <c r="T11" s="100"/>
    </row>
    <row r="12" spans="2:20" ht="13.5" customHeight="1" x14ac:dyDescent="0.15">
      <c r="B12" s="557" t="s">
        <v>1</v>
      </c>
      <c r="C12" s="455" t="str">
        <f>IF(入力用!C19="","〔　　　　　　　　　　　　　   　　　　〕",入力用!C19)</f>
        <v>〔　　　　　　　　　　　　　   　　　　〕</v>
      </c>
      <c r="D12" s="456" t="str">
        <f>IF(入力用!D19="","（　　）",入力用!D19)</f>
        <v>（　　）</v>
      </c>
      <c r="E12" s="457" t="str">
        <f>IF(入力用!F19="✓","✓","□")</f>
        <v>□</v>
      </c>
      <c r="F12" s="455" t="str">
        <f>IF(入力用!C22="","〔　　　　　　　　　　　　　　　　   　　　　〕",入力用!C22)</f>
        <v>〔　　　　　　　　　　　　　　　　   　　　　〕</v>
      </c>
      <c r="G12" s="456" t="str">
        <f>IF(入力用!D22="","（　　）",入力用!D22)</f>
        <v>（　　）</v>
      </c>
      <c r="H12" s="457" t="str">
        <f>IF(入力用!F22="✓","✓","□")</f>
        <v>□</v>
      </c>
      <c r="I12" s="106"/>
      <c r="J12" s="107"/>
      <c r="M12" s="71" t="s">
        <v>35</v>
      </c>
      <c r="N12" s="72"/>
      <c r="O12" s="73" t="s">
        <v>77</v>
      </c>
      <c r="P12" s="108"/>
      <c r="Q12" s="64" t="s">
        <v>78</v>
      </c>
      <c r="R12" s="65"/>
      <c r="S12" s="87"/>
      <c r="T12" s="101"/>
    </row>
    <row r="13" spans="2:20" ht="14.25" customHeight="1" x14ac:dyDescent="0.15">
      <c r="B13" s="558"/>
      <c r="C13" s="458" t="str">
        <f>IF(入力用!C20="","〔　　　　　　　　　　　　　   　　　　〕",入力用!C20)</f>
        <v>〔　　　　　　　　　　　　　   　　　　〕</v>
      </c>
      <c r="D13" s="459" t="str">
        <f>IF(入力用!D20="","（　　）",入力用!D20)</f>
        <v>（　　）</v>
      </c>
      <c r="E13" s="172" t="str">
        <f>IF(入力用!F20="✓","✓","□")</f>
        <v>□</v>
      </c>
      <c r="F13" s="458" t="str">
        <f>IF(入力用!C23="","〔　　　　　　　　　　　　　　　　   　　　　〕",入力用!C23)</f>
        <v>〔　　　　　　　　　　　　　　　　   　　　　〕</v>
      </c>
      <c r="G13" s="146" t="str">
        <f>IF(入力用!D23="","（　　）",入力用!D23)</f>
        <v>（　　）</v>
      </c>
      <c r="H13" s="172" t="str">
        <f>IF(入力用!F23="✓","✓","□")</f>
        <v>□</v>
      </c>
      <c r="I13" s="113"/>
      <c r="J13" s="114"/>
      <c r="M13" s="115"/>
      <c r="N13" s="116"/>
      <c r="O13" s="76"/>
      <c r="P13" s="77" t="s">
        <v>59</v>
      </c>
      <c r="Q13" s="78"/>
      <c r="R13" s="79" t="s">
        <v>59</v>
      </c>
      <c r="S13" s="87"/>
    </row>
    <row r="14" spans="2:20" ht="13.5" customHeight="1" thickBot="1" x14ac:dyDescent="0.2">
      <c r="B14" s="558"/>
      <c r="C14" s="460" t="str">
        <f>IF(入力用!C21="","〔　　　　　　　　　　　　　   　　　　〕",入力用!C21)</f>
        <v>〔　　　　　　　　　　　　　   　　　　〕</v>
      </c>
      <c r="D14" s="198" t="str">
        <f>IF(入力用!D21="","（　　）",入力用!D21)</f>
        <v>（　　）</v>
      </c>
      <c r="E14" s="172" t="str">
        <f>IF(入力用!F21="✓","✓","□")</f>
        <v>□</v>
      </c>
      <c r="F14" s="460" t="str">
        <f>IF(入力用!C24="","〔　　　　　　　　　　　　　　　　   　　　　〕",入力用!C24)</f>
        <v>〔　　　　　　　　　　　　　　　　   　　　　〕</v>
      </c>
      <c r="G14" s="198" t="str">
        <f>IF(入力用!D24="","（　　）",入力用!D24)</f>
        <v>（　　）</v>
      </c>
      <c r="H14" s="172" t="str">
        <f>IF(入力用!F24="✓","✓","□")</f>
        <v>□</v>
      </c>
      <c r="I14" s="461" t="s">
        <v>59</v>
      </c>
      <c r="J14" s="359" t="s">
        <v>60</v>
      </c>
      <c r="M14" s="44"/>
      <c r="N14" s="44"/>
      <c r="O14" s="44"/>
      <c r="P14" s="44"/>
      <c r="Q14" s="45"/>
      <c r="R14" s="45"/>
      <c r="S14" s="87"/>
    </row>
    <row r="15" spans="2:20" ht="14.25" customHeight="1" thickBot="1" x14ac:dyDescent="0.2">
      <c r="B15" s="557" t="s">
        <v>14</v>
      </c>
      <c r="C15" s="462" t="s">
        <v>43</v>
      </c>
      <c r="D15" s="463">
        <v>2</v>
      </c>
      <c r="E15" s="457" t="str">
        <f>IF(入力用!F26="✓","✓","□")</f>
        <v>□</v>
      </c>
      <c r="F15" s="455" t="str">
        <f>IF(入力用!C30="","〔　　　　　　　　　　　　　　　　   　　　　〕",入力用!C30)</f>
        <v>〔　　　　　　　　　　　　　　　　   　　　　〕</v>
      </c>
      <c r="G15" s="456" t="str">
        <f>IF(入力用!D30="","（　　）",入力用!D30)</f>
        <v>（　　）</v>
      </c>
      <c r="H15" s="457" t="str">
        <f>IF(入力用!F30="✓","✓","□")</f>
        <v>□</v>
      </c>
      <c r="I15" s="124"/>
      <c r="J15" s="107"/>
      <c r="M15" s="46" t="s">
        <v>5</v>
      </c>
      <c r="N15" s="47"/>
      <c r="O15" s="47"/>
      <c r="P15" s="47"/>
      <c r="Q15" s="47"/>
      <c r="R15" s="47"/>
      <c r="S15" s="87"/>
    </row>
    <row r="16" spans="2:20" ht="13.5" customHeight="1" x14ac:dyDescent="0.15">
      <c r="B16" s="558"/>
      <c r="C16" s="464" t="s">
        <v>44</v>
      </c>
      <c r="D16" s="465">
        <v>1</v>
      </c>
      <c r="E16" s="175" t="str">
        <f>IF(入力用!F27="✓","✓","□")</f>
        <v>□</v>
      </c>
      <c r="F16" s="458" t="str">
        <f>IF(入力用!C31="","〔　　　　　　　　　　　　　　　　   　　　　〕",入力用!C31)</f>
        <v>〔　　　　　　　　　　　　　　　　   　　　　〕</v>
      </c>
      <c r="G16" s="146" t="str">
        <f>IF(入力用!D31="","（　　）",入力用!D31)</f>
        <v>（　　）</v>
      </c>
      <c r="H16" s="172" t="str">
        <f>IF(入力用!F31="✓","✓","□")</f>
        <v>□</v>
      </c>
      <c r="I16" s="128"/>
      <c r="J16" s="114"/>
      <c r="M16" s="48" t="str">
        <f>IF(入力用!C96="","〔　　　　　　　　　　　　　　　　   　　　　　　　　〕",入力用!C96)</f>
        <v>〔　　　　　　　　　　　　　　　　   　　　　　　　　〕</v>
      </c>
      <c r="N16" s="49" t="str">
        <f>IF(入力用!D96="","（　　）",入力用!D96)</f>
        <v>（　　）</v>
      </c>
      <c r="O16" s="547" t="str">
        <f>IF(入力用!F96="","□",入力用!F96)</f>
        <v>□</v>
      </c>
      <c r="P16" s="548" t="str">
        <f>IF(入力用!F97="","（　　）",入力用!F97)</f>
        <v>（　　）</v>
      </c>
      <c r="Q16" s="50"/>
      <c r="R16" s="51"/>
      <c r="S16" s="87"/>
    </row>
    <row r="17" spans="2:19" ht="14.25" customHeight="1" thickBot="1" x14ac:dyDescent="0.2">
      <c r="B17" s="558"/>
      <c r="C17" s="458" t="str">
        <f>IF(入力用!C28="","〔　　　　　　　　　　　　　   　　　　〕",入力用!C28)</f>
        <v>〔　　　　　　　　　　　　　   　　　　〕</v>
      </c>
      <c r="D17" s="146" t="str">
        <f>IF(入力用!D28="","（　　）",入力用!D28)</f>
        <v>（　　）</v>
      </c>
      <c r="E17" s="172" t="str">
        <f>IF(入力用!F28="✓","✓","□")</f>
        <v>□</v>
      </c>
      <c r="F17" s="458" t="str">
        <f>IF(入力用!C32="","〔　　　　　　　　　　　　　　　　   　　　　〕",入力用!C32)</f>
        <v>〔　　　　　　　　　　　　　　　　   　　　　〕</v>
      </c>
      <c r="G17" s="146" t="str">
        <f>IF(入力用!D32="","（　　）",入力用!D32)</f>
        <v>（　　）</v>
      </c>
      <c r="H17" s="172" t="str">
        <f>IF(入力用!F32="✓","✓","□")</f>
        <v>□</v>
      </c>
      <c r="I17" s="113"/>
      <c r="J17" s="114"/>
      <c r="M17" s="52" t="str">
        <f>IF(入力用!C97="","〔　　　　　　　　　　　　　　　　   　　　　　　　　〕",入力用!C97)</f>
        <v>〔　　　　　　　　　　　　　　　　   　　　　　　　　〕</v>
      </c>
      <c r="N17" s="53" t="str">
        <f>IF(入力用!D97="","（　　）",入力用!D97)</f>
        <v>（　　）</v>
      </c>
      <c r="O17" s="549" t="str">
        <f>IF(入力用!F96="","□",入力用!F96)</f>
        <v>□</v>
      </c>
      <c r="P17" s="550" t="str">
        <f>IF(入力用!F98="","（　　）",入力用!F98)</f>
        <v>（　　）</v>
      </c>
      <c r="Q17" s="54"/>
      <c r="R17" s="55" t="s">
        <v>87</v>
      </c>
      <c r="S17" s="87"/>
    </row>
    <row r="18" spans="2:19" ht="13.5" customHeight="1" thickBot="1" x14ac:dyDescent="0.2">
      <c r="B18" s="558"/>
      <c r="C18" s="460" t="str">
        <f>IF(入力用!C29="","〔　　　　　　　　　　　　　   　　　　〕",入力用!C29)</f>
        <v>〔　　　　　　　　　　　　　   　　　　〕</v>
      </c>
      <c r="D18" s="198" t="str">
        <f>IF(入力用!D29="","（　　）",入力用!D29)</f>
        <v>（　　）</v>
      </c>
      <c r="E18" s="213" t="str">
        <f>IF(入力用!F29="✓","✓","□")</f>
        <v>□</v>
      </c>
      <c r="F18" s="460"/>
      <c r="G18" s="466"/>
      <c r="H18" s="213"/>
      <c r="I18" s="461" t="s">
        <v>59</v>
      </c>
      <c r="J18" s="359" t="s">
        <v>60</v>
      </c>
      <c r="M18" s="56" t="s">
        <v>410</v>
      </c>
      <c r="N18" s="57"/>
      <c r="O18" s="553" t="s">
        <v>37</v>
      </c>
      <c r="P18" s="554"/>
      <c r="Q18" s="569" t="s">
        <v>73</v>
      </c>
      <c r="R18" s="570"/>
      <c r="S18" s="87"/>
    </row>
    <row r="19" spans="2:19" ht="13.5" customHeight="1" x14ac:dyDescent="0.15">
      <c r="B19" s="268" t="s">
        <v>409</v>
      </c>
      <c r="C19" s="137"/>
      <c r="D19" s="138"/>
      <c r="E19" s="137"/>
      <c r="F19" s="455"/>
      <c r="G19" s="140"/>
      <c r="H19" s="141"/>
      <c r="I19" s="142" t="s">
        <v>57</v>
      </c>
      <c r="J19" s="143"/>
      <c r="M19" s="58" t="str">
        <f>IF(入力用!C99="","〔　　　　　　　　　　　　　　　　   　　　　　　　　〕",入力用!C99)</f>
        <v>〔　　　　　　　　　　　　　　　　   　　　　　　　　〕</v>
      </c>
      <c r="N19" s="59" t="str">
        <f>IF(入力用!D99="","（　　）",入力用!D99)</f>
        <v>（　　）</v>
      </c>
      <c r="O19" s="551" t="str">
        <f>IF(入力用!G99="","□",入力用!G99)</f>
        <v>□</v>
      </c>
      <c r="P19" s="552" t="str">
        <f>IF(入力用!E102="","（　　）",入力用!E102)</f>
        <v>（　　）</v>
      </c>
      <c r="Q19" s="571" t="str">
        <f>IF(入力用!H99="","□",入力用!H99)</f>
        <v>□</v>
      </c>
      <c r="R19" s="572" t="str">
        <f>IF(入力用!G102="","（　　）",入力用!G102)</f>
        <v>（　　）</v>
      </c>
      <c r="S19" s="87"/>
    </row>
    <row r="20" spans="2:19" ht="15" customHeight="1" x14ac:dyDescent="0.15">
      <c r="B20" s="144" t="str">
        <f>IF(入力用!C34="","〔　　　　　　　 　　　　　　　　　　  　　　　〕",入力用!C34)</f>
        <v>〔　　　　　　　 　　　　　　　　　　  　　　　〕</v>
      </c>
      <c r="C20" s="145"/>
      <c r="D20" s="146" t="str">
        <f>IF(入力用!D34="","（　　）",入力用!D34)</f>
        <v>（　　）</v>
      </c>
      <c r="E20" s="147" t="str">
        <f>IF(入力用!F34="✓","✓","□")</f>
        <v>□</v>
      </c>
      <c r="F20" s="458" t="str">
        <f>IF(入力用!C37="","〔　　　　　　　　　　　　　　　　   　　　　〕",入力用!C37)</f>
        <v>〔　　　　　　　　　　　　　　　　   　　　　〕</v>
      </c>
      <c r="G20" s="146" t="str">
        <f>IF(入力用!D37="","（　　）",入力用!D37)</f>
        <v>（　　）</v>
      </c>
      <c r="H20" s="147" t="str">
        <f>IF(入力用!F37="✓","✓","□")</f>
        <v>□</v>
      </c>
      <c r="I20" s="149"/>
      <c r="J20" s="150"/>
      <c r="M20" s="58" t="str">
        <f>IF(入力用!C100="","〔　　　　　　　　　　　　　　　　   　　　　　　　　〕",入力用!C100)</f>
        <v>〔　　　　　　　　　　　　　　　　   　　　　　　　　〕</v>
      </c>
      <c r="N20" s="59" t="str">
        <f>IF(入力用!D100="","（　　）",入力用!D100)</f>
        <v>（　　）</v>
      </c>
      <c r="O20" s="551" t="str">
        <f>IF(入力用!G100="","□",入力用!G100)</f>
        <v>□</v>
      </c>
      <c r="P20" s="552" t="str">
        <f>IF(入力用!E103="","（　　）",入力用!E103)</f>
        <v>（　　）</v>
      </c>
      <c r="Q20" s="571" t="str">
        <f>IF(入力用!H100="","□",入力用!H100)</f>
        <v>□</v>
      </c>
      <c r="R20" s="572" t="str">
        <f>IF(入力用!G103="","（　　）",入力用!G103)</f>
        <v>（　　）</v>
      </c>
      <c r="S20" s="87"/>
    </row>
    <row r="21" spans="2:19" ht="15" customHeight="1" x14ac:dyDescent="0.15">
      <c r="B21" s="144" t="str">
        <f>IF(入力用!C35="","〔　　　　　　　 　　　　　　　　　　  　　　　〕",入力用!C35)</f>
        <v>〔　　　　　　　 　　　　　　　　　　  　　　　〕</v>
      </c>
      <c r="C21" s="145"/>
      <c r="D21" s="146" t="str">
        <f>IF(入力用!D35="","（　　）",入力用!D35)</f>
        <v>（　　）</v>
      </c>
      <c r="E21" s="147" t="str">
        <f>IF(入力用!F35="✓","✓","□")</f>
        <v>□</v>
      </c>
      <c r="F21" s="458" t="str">
        <f>IF(入力用!C38="","〔　　　　　　　　　　　　　　　　   　　　　〕",入力用!C38)</f>
        <v>〔　　　　　　　　　　　　　　　　   　　　　〕</v>
      </c>
      <c r="G21" s="146" t="str">
        <f>IF(入力用!D38="","（　　）",入力用!D38)</f>
        <v>（　　）</v>
      </c>
      <c r="H21" s="147" t="str">
        <f>IF(入力用!F38="✓","✓","□")</f>
        <v>□</v>
      </c>
      <c r="I21" s="151"/>
      <c r="J21" s="152" t="s">
        <v>58</v>
      </c>
      <c r="M21" s="58" t="str">
        <f>IF(入力用!C101="","〔　　　　　　　　　　　　　　　　   　　　　　　　　〕",入力用!C101)</f>
        <v>〔　　　　　　　　　　　　　　　　   　　　　　　　　〕</v>
      </c>
      <c r="N21" s="59" t="str">
        <f>IF(入力用!D101="","（　　）",入力用!D101)</f>
        <v>（　　）</v>
      </c>
      <c r="O21" s="551" t="str">
        <f>IF(入力用!G101="","□",入力用!G101)</f>
        <v>□</v>
      </c>
      <c r="P21" s="552" t="str">
        <f>IF(入力用!E105="","（　　）",入力用!E105)</f>
        <v>（　　）</v>
      </c>
      <c r="Q21" s="571" t="str">
        <f>IF(入力用!H101="","□",入力用!H101)</f>
        <v>□</v>
      </c>
      <c r="R21" s="572" t="str">
        <f>IF(入力用!G105="","（　　）",入力用!G105)</f>
        <v>（　　）</v>
      </c>
      <c r="S21" s="87"/>
    </row>
    <row r="22" spans="2:19" ht="14.25" customHeight="1" x14ac:dyDescent="0.15">
      <c r="B22" s="153" t="str">
        <f>IF(入力用!C36="","〔　　　　　　　 　　　　　　　　　　  　　　　〕",入力用!C36)</f>
        <v>〔　　　　　　　 　　　　　　　　　　  　　　　〕</v>
      </c>
      <c r="C22" s="154"/>
      <c r="D22" s="155" t="str">
        <f>IF(入力用!D36="","（　　）",入力用!D36)</f>
        <v>（　　）</v>
      </c>
      <c r="E22" s="156" t="str">
        <f>IF(入力用!F36="✓","✓","□")</f>
        <v>□</v>
      </c>
      <c r="F22" s="467" t="str">
        <f>IF(入力用!C39="","〔　　　　　　　　　　　　　　　　   　　　　〕",入力用!C39)</f>
        <v>〔　　　　　　　　　　　　　　　　   　　　　〕</v>
      </c>
      <c r="G22" s="155" t="str">
        <f>IF(入力用!D39="","（　　）",入力用!D39)</f>
        <v>（　　）</v>
      </c>
      <c r="H22" s="156" t="str">
        <f>IF(入力用!F39="✓","✓","□")</f>
        <v>□</v>
      </c>
      <c r="I22" s="158"/>
      <c r="J22" s="159"/>
      <c r="M22" s="58" t="str">
        <f>IF(入力用!C102="","〔　　　　　　　　　　　　　　　　   　　　　　　　　〕",入力用!C102)</f>
        <v>〔　　　　　　　　　　　　　　　　   　　　　　　　　〕</v>
      </c>
      <c r="N22" s="59" t="str">
        <f>IF(入力用!D102="","（　　）",入力用!D102)</f>
        <v>（　　）</v>
      </c>
      <c r="O22" s="551" t="str">
        <f>IF(入力用!G102="","□",入力用!G102)</f>
        <v>□</v>
      </c>
      <c r="P22" s="552" t="str">
        <f>IF(入力用!E106="","（　　）",入力用!E106)</f>
        <v>（　　）</v>
      </c>
      <c r="Q22" s="571" t="str">
        <f>IF(入力用!H102="","□",入力用!H102)</f>
        <v>□</v>
      </c>
      <c r="R22" s="572" t="str">
        <f>IF(入力用!G106="","（　　）",入力用!G106)</f>
        <v>その他（F）</v>
      </c>
      <c r="S22" s="87"/>
    </row>
    <row r="23" spans="2:19" ht="13.5" customHeight="1" x14ac:dyDescent="0.15">
      <c r="B23" s="160"/>
      <c r="C23" s="160"/>
      <c r="D23" s="160"/>
      <c r="E23" s="160"/>
      <c r="F23" s="160"/>
      <c r="G23" s="160"/>
      <c r="H23" s="160"/>
      <c r="I23" s="161"/>
      <c r="J23" s="161"/>
      <c r="M23" s="58" t="str">
        <f>IF(入力用!C103="","〔　　　　　　　　　　　　　　　　   　　　　　　　　〕",入力用!C103)</f>
        <v>〔　　　　　　　　　　　　　　　　   　　　　　　　　〕</v>
      </c>
      <c r="N23" s="59" t="str">
        <f>IF(入力用!D103="","（　　）",入力用!D103)</f>
        <v>（　　）</v>
      </c>
      <c r="O23" s="551" t="str">
        <f>IF(入力用!G103="","□",入力用!G103)</f>
        <v>□</v>
      </c>
      <c r="P23" s="552" t="str">
        <f>IF(入力用!E107="","（　　）",入力用!E107)</f>
        <v>（　　）</v>
      </c>
      <c r="Q23" s="571" t="str">
        <f>IF(入力用!H103="","□",入力用!H103)</f>
        <v>□</v>
      </c>
      <c r="R23" s="572" t="str">
        <f>IF(入力用!G107="","（　　）",入力用!G107)</f>
        <v>（　　）</v>
      </c>
      <c r="S23" s="87"/>
    </row>
    <row r="24" spans="2:19" ht="14.25" thickBot="1" x14ac:dyDescent="0.2">
      <c r="B24" s="94" t="s">
        <v>13</v>
      </c>
      <c r="M24" s="58" t="str">
        <f>IF(入力用!C104="","〔　　　　　　　　　　　　　　　　   　　　　　　　　〕",入力用!C104)</f>
        <v>〔　　　　　　　　　　　　　　　　   　　　　　　　　〕</v>
      </c>
      <c r="N24" s="59" t="str">
        <f>IF(入力用!D104="","（　　）",入力用!D104)</f>
        <v>（　　）</v>
      </c>
      <c r="O24" s="551" t="str">
        <f>IF(入力用!G104="","□",入力用!G104)</f>
        <v>□</v>
      </c>
      <c r="P24" s="552" t="str">
        <f>IF(入力用!E108="","（　　）",入力用!E108)</f>
        <v>（　　）</v>
      </c>
      <c r="Q24" s="571" t="str">
        <f>IF(入力用!H104="","□",入力用!H104)</f>
        <v>□</v>
      </c>
      <c r="R24" s="572" t="str">
        <f>IF(入力用!G108="","（　　）",入力用!G108)</f>
        <v>（　　）</v>
      </c>
      <c r="S24" s="87"/>
    </row>
    <row r="25" spans="2:19" ht="14.25" customHeight="1" x14ac:dyDescent="0.15">
      <c r="B25" s="559" t="s">
        <v>16</v>
      </c>
      <c r="C25" s="560"/>
      <c r="D25" s="560"/>
      <c r="E25" s="561"/>
      <c r="F25" s="561"/>
      <c r="G25" s="561"/>
      <c r="H25" s="562"/>
      <c r="I25" s="545"/>
      <c r="J25" s="546"/>
      <c r="M25" s="60" t="s">
        <v>35</v>
      </c>
      <c r="N25" s="61"/>
      <c r="O25" s="62" t="s">
        <v>79</v>
      </c>
      <c r="P25" s="63"/>
      <c r="Q25" s="64" t="s">
        <v>80</v>
      </c>
      <c r="R25" s="65"/>
      <c r="S25" s="87"/>
    </row>
    <row r="26" spans="2:19" ht="13.5" customHeight="1" x14ac:dyDescent="0.15">
      <c r="B26" s="162" t="s">
        <v>45</v>
      </c>
      <c r="C26" s="163"/>
      <c r="D26" s="164">
        <v>1</v>
      </c>
      <c r="E26" s="165" t="str">
        <f>IF(入力用!F42="✓","✓","□")</f>
        <v>□</v>
      </c>
      <c r="F26" s="166" t="s">
        <v>50</v>
      </c>
      <c r="G26" s="164">
        <v>1</v>
      </c>
      <c r="H26" s="165" t="str">
        <f>IF(入力用!F47="✓","✓","□")</f>
        <v>□</v>
      </c>
      <c r="I26" s="167"/>
      <c r="J26" s="168"/>
      <c r="M26" s="115"/>
      <c r="N26" s="116"/>
      <c r="O26" s="76"/>
      <c r="P26" s="77" t="s">
        <v>59</v>
      </c>
      <c r="Q26" s="78"/>
      <c r="R26" s="79" t="s">
        <v>59</v>
      </c>
      <c r="S26" s="87"/>
    </row>
    <row r="27" spans="2:19" ht="14.25" customHeight="1" thickBot="1" x14ac:dyDescent="0.2">
      <c r="B27" s="169" t="s">
        <v>46</v>
      </c>
      <c r="C27" s="170"/>
      <c r="D27" s="171">
        <v>1</v>
      </c>
      <c r="E27" s="172" t="str">
        <f>IF(入力用!F43="✓","✓","□")</f>
        <v>□</v>
      </c>
      <c r="F27" s="173" t="s">
        <v>51</v>
      </c>
      <c r="G27" s="171">
        <v>1</v>
      </c>
      <c r="H27" s="172" t="str">
        <f>IF(入力用!F48="✓","✓","□")</f>
        <v>□</v>
      </c>
      <c r="I27" s="174"/>
      <c r="J27" s="114"/>
      <c r="M27" s="87"/>
      <c r="N27" s="87"/>
      <c r="O27" s="87"/>
      <c r="P27" s="87"/>
      <c r="Q27" s="87"/>
      <c r="R27" s="87"/>
      <c r="S27" s="87"/>
    </row>
    <row r="28" spans="2:19" ht="13.5" customHeight="1" x14ac:dyDescent="0.15">
      <c r="B28" s="169" t="s">
        <v>47</v>
      </c>
      <c r="C28" s="170"/>
      <c r="D28" s="171">
        <v>1</v>
      </c>
      <c r="E28" s="175" t="str">
        <f>IF(入力用!F44="✓","✓","□")</f>
        <v>□</v>
      </c>
      <c r="F28" s="173" t="s">
        <v>52</v>
      </c>
      <c r="G28" s="171">
        <v>1</v>
      </c>
      <c r="H28" s="175" t="str">
        <f>IF(入力用!F49="✓","✓","□")</f>
        <v>□</v>
      </c>
      <c r="I28" s="174"/>
      <c r="J28" s="114"/>
      <c r="L28" s="176"/>
      <c r="M28" s="177"/>
      <c r="N28" s="178"/>
      <c r="O28" s="179"/>
      <c r="P28" s="179"/>
      <c r="Q28" s="180"/>
      <c r="R28" s="180"/>
      <c r="S28" s="181"/>
    </row>
    <row r="29" spans="2:19" ht="13.5" customHeight="1" x14ac:dyDescent="0.15">
      <c r="B29" s="169" t="s">
        <v>48</v>
      </c>
      <c r="C29" s="170"/>
      <c r="D29" s="171">
        <v>1</v>
      </c>
      <c r="E29" s="172" t="str">
        <f>IF(入力用!F45="✓","✓","□")</f>
        <v>□</v>
      </c>
      <c r="F29" s="173" t="s">
        <v>53</v>
      </c>
      <c r="G29" s="171">
        <v>1</v>
      </c>
      <c r="H29" s="172" t="str">
        <f>IF(入力用!F50="✓","✓","□")</f>
        <v>□</v>
      </c>
      <c r="I29" s="113"/>
      <c r="J29" s="114"/>
      <c r="L29" s="182"/>
      <c r="M29" s="94" t="s">
        <v>83</v>
      </c>
      <c r="S29" s="87"/>
    </row>
    <row r="30" spans="2:19" ht="14.25" customHeight="1" x14ac:dyDescent="0.15">
      <c r="B30" s="183" t="s">
        <v>49</v>
      </c>
      <c r="C30" s="184"/>
      <c r="D30" s="185">
        <v>1</v>
      </c>
      <c r="E30" s="186" t="str">
        <f>IF(入力用!F46="✓","✓","□")</f>
        <v>□</v>
      </c>
      <c r="F30" s="187" t="s">
        <v>54</v>
      </c>
      <c r="G30" s="185">
        <v>1</v>
      </c>
      <c r="H30" s="186" t="str">
        <f>IF(入力用!F51="✓","✓","□")</f>
        <v>□</v>
      </c>
      <c r="I30" s="188" t="s">
        <v>59</v>
      </c>
      <c r="J30" s="189" t="s">
        <v>63</v>
      </c>
      <c r="L30" s="182"/>
      <c r="M30" s="190"/>
      <c r="O30" s="567" t="s">
        <v>36</v>
      </c>
      <c r="P30" s="568"/>
      <c r="Q30" s="563" t="s">
        <v>74</v>
      </c>
      <c r="R30" s="564"/>
      <c r="S30" s="87"/>
    </row>
    <row r="31" spans="2:19" ht="13.5" customHeight="1" x14ac:dyDescent="0.15">
      <c r="B31" s="191" t="s">
        <v>75</v>
      </c>
      <c r="C31" s="192"/>
      <c r="D31" s="192"/>
      <c r="E31" s="192"/>
      <c r="F31" s="87"/>
      <c r="G31" s="87"/>
      <c r="H31" s="87"/>
      <c r="I31" s="193"/>
      <c r="J31" s="114"/>
      <c r="L31" s="182"/>
      <c r="M31" s="468" t="str">
        <f>IF(入力用!C107="","〔　　　　　　　　　　　　　　　　   　　　　　　　　〕",入力用!C107)</f>
        <v>〔　　　　　　　　　　　　　　　　   　　　　　　　　〕</v>
      </c>
      <c r="N31" s="454" t="str">
        <f>IF(入力用!D107="","（　　）",入力用!D107)</f>
        <v>（　　）</v>
      </c>
      <c r="O31" s="555" t="str">
        <f>IF(入力用!G107="","□",入力用!G107)</f>
        <v>□</v>
      </c>
      <c r="P31" s="556" t="str">
        <f>IF(入力用!E115="","（　　）",入力用!E115)</f>
        <v>最低修得単位数</v>
      </c>
      <c r="Q31" s="565" t="str">
        <f>IF(入力用!H107="","□",入力用!H107)</f>
        <v>□</v>
      </c>
      <c r="R31" s="566" t="str">
        <f>IF(入力用!G115="","（　　）",入力用!G115)</f>
        <v>その他
(基幹教育)</v>
      </c>
      <c r="S31" s="87"/>
    </row>
    <row r="32" spans="2:19" ht="15" customHeight="1" thickBot="1" x14ac:dyDescent="0.2">
      <c r="B32" s="194" t="str">
        <f>IF(入力用!C53="","〔　　　　　　　 　　　　　　　　　　  　　　　〕",入力用!C53)</f>
        <v>〔　　　　　　　 　　　　　　　　　　  　　　　〕</v>
      </c>
      <c r="C32" s="195"/>
      <c r="D32" s="196" t="str">
        <f>IF(入力用!D53="","（　　）",入力用!D53)</f>
        <v>（　　）</v>
      </c>
      <c r="E32" s="197" t="str">
        <f>IF(入力用!F53="✓","✓","□")</f>
        <v>□</v>
      </c>
      <c r="F32" s="86" t="str">
        <f>IF(入力用!C54="","〔　　　　　　　　　　　　　　　　   　　　　〕",入力用!C54)</f>
        <v>〔　　　　　　　　　　　　　　　　   　　　　〕</v>
      </c>
      <c r="G32" s="199" t="str">
        <f>IF(入力用!F54="","（　　）",入力用!F54)</f>
        <v>（　　）</v>
      </c>
      <c r="H32" s="199" t="str">
        <f>IF(入力用!F54="✓","✓","□")</f>
        <v>□</v>
      </c>
      <c r="I32" s="200" t="s">
        <v>59</v>
      </c>
      <c r="J32" s="201" t="s">
        <v>62</v>
      </c>
      <c r="L32" s="182"/>
      <c r="M32" s="468" t="str">
        <f>IF(入力用!C108="","〔　　　　　　　　　　　　　　　　   　　　　　　　　〕",入力用!C108)</f>
        <v>〔　　　　　　　　　　　　　　　　   　　　　　　　　〕</v>
      </c>
      <c r="N32" s="454" t="str">
        <f>IF(入力用!D108="","（　　）",入力用!D108)</f>
        <v>（　　）</v>
      </c>
      <c r="O32" s="555" t="str">
        <f>IF(入力用!G108="","□",入力用!G108)</f>
        <v>□</v>
      </c>
      <c r="P32" s="556">
        <f>IF(入力用!E116="","（　　）",入力用!E116)</f>
        <v>7</v>
      </c>
      <c r="Q32" s="565" t="str">
        <f>IF(入力用!H108="","□",入力用!H108)</f>
        <v>□</v>
      </c>
      <c r="R32" s="566" t="str">
        <f>IF(入力用!G116="","（　　）",入力用!G116)</f>
        <v>（　　）</v>
      </c>
      <c r="S32" s="87"/>
    </row>
    <row r="33" spans="2:19" ht="13.5" customHeight="1" x14ac:dyDescent="0.15">
      <c r="B33" s="559" t="s">
        <v>17</v>
      </c>
      <c r="C33" s="561"/>
      <c r="D33" s="561"/>
      <c r="E33" s="561"/>
      <c r="F33" s="561"/>
      <c r="G33" s="561"/>
      <c r="H33" s="562"/>
      <c r="I33" s="545"/>
      <c r="J33" s="546"/>
      <c r="L33" s="182"/>
      <c r="M33" s="468" t="str">
        <f>IF(入力用!C109="","〔　　　　　　　　　　　　　　　　   　　　　　　　　〕",入力用!C109)</f>
        <v>〔　　　　　　　　　　　　　　　　   　　　　　　　　〕</v>
      </c>
      <c r="N33" s="454" t="str">
        <f>IF(入力用!D109="","（　　）",入力用!D109)</f>
        <v>（　　）</v>
      </c>
      <c r="O33" s="555" t="str">
        <f>IF(入力用!G109="","□",入力用!G109)</f>
        <v>□</v>
      </c>
      <c r="P33" s="556" t="str">
        <f>IF(入力用!E117="","（　　）",入力用!E117)</f>
        <v>（　　）</v>
      </c>
      <c r="Q33" s="565" t="str">
        <f>IF(入力用!H109="","□",入力用!H109)</f>
        <v>□</v>
      </c>
      <c r="R33" s="566" t="str">
        <f>IF(入力用!G117="","（　　）",入力用!G117)</f>
        <v>（　　）</v>
      </c>
      <c r="S33" s="87"/>
    </row>
    <row r="34" spans="2:19" ht="14.25" customHeight="1" x14ac:dyDescent="0.15">
      <c r="B34" s="202" t="str">
        <f>IF(入力用!C56="","〔　　　　　　　 　　　　　　　　　　  　　　　〕",入力用!C56)</f>
        <v>〔　　　　　　　 　　　　　　　　　　  　　　　〕</v>
      </c>
      <c r="C34" s="203"/>
      <c r="D34" s="164">
        <v>1</v>
      </c>
      <c r="E34" s="165" t="str">
        <f>IF(入力用!F56="✓","✓","□")</f>
        <v>□</v>
      </c>
      <c r="F34" s="204" t="str">
        <f>IF(入力用!C62="","〔　　　　　　　　　　　　　　　　   　　　　〕",入力用!C62)</f>
        <v>〔　　　　　　　　　　　　　　　　   　　　　〕</v>
      </c>
      <c r="G34" s="164">
        <v>1</v>
      </c>
      <c r="H34" s="165" t="str">
        <f>IF(入力用!F62="✓","✓","□")</f>
        <v>□</v>
      </c>
      <c r="I34" s="205"/>
      <c r="J34" s="206"/>
      <c r="L34" s="182"/>
      <c r="M34" s="468" t="str">
        <f>IF(入力用!C110="","〔　　　　　　　　　　　　　　　　   　　　　　　　　〕",入力用!C110)</f>
        <v>〔　　　　　　　　　　　　　　　　   　　　　　　　　〕</v>
      </c>
      <c r="N34" s="454" t="str">
        <f>IF(入力用!D110="","（　　）",入力用!D110)</f>
        <v>（　　）</v>
      </c>
      <c r="O34" s="555" t="str">
        <f>IF(入力用!G110="","□",入力用!G110)</f>
        <v>□</v>
      </c>
      <c r="P34" s="556" t="str">
        <f>IF(入力用!E118="","（　　）",入力用!E118)</f>
        <v>（　　）</v>
      </c>
      <c r="Q34" s="565" t="str">
        <f>IF(入力用!H110="","□",入力用!H110)</f>
        <v>□</v>
      </c>
      <c r="R34" s="566" t="str">
        <f>IF(入力用!G118="","（　　）",入力用!G118)</f>
        <v>（　　）</v>
      </c>
      <c r="S34" s="87"/>
    </row>
    <row r="35" spans="2:19" ht="13.5" customHeight="1" x14ac:dyDescent="0.15">
      <c r="B35" s="207" t="str">
        <f>IF(入力用!C57="","〔　　　　　　　 　　　　　　　　　　  　　　　〕",入力用!C57)</f>
        <v>〔　　　　　　　 　　　　　　　　　　  　　　　〕</v>
      </c>
      <c r="C35" s="208"/>
      <c r="D35" s="171">
        <v>1</v>
      </c>
      <c r="E35" s="172" t="str">
        <f>IF(入力用!F57="✓","✓","□")</f>
        <v>□</v>
      </c>
      <c r="F35" s="209" t="str">
        <f>IF(入力用!C63="","〔　　　　　　　　　　　　　　　　   　　　　〕",入力用!C63)</f>
        <v>〔　　　　　　　　　　　　　　　　   　　　　〕</v>
      </c>
      <c r="G35" s="171">
        <v>1</v>
      </c>
      <c r="H35" s="172" t="str">
        <f>IF(入力用!F63="✓","✓","□")</f>
        <v>□</v>
      </c>
      <c r="I35" s="210"/>
      <c r="J35" s="211"/>
      <c r="L35" s="182"/>
      <c r="M35" s="468" t="str">
        <f>IF(入力用!C111="","〔　　　　　　　　　　　　　　　　   　　　　　　　　〕",入力用!C111)</f>
        <v>〔　　　　　　　　　　　　　　　　   　　　　　　　　〕</v>
      </c>
      <c r="N35" s="454" t="str">
        <f>IF(入力用!D111="","（　　）",入力用!D111)</f>
        <v>（　　）</v>
      </c>
      <c r="O35" s="555" t="str">
        <f>IF(入力用!G111="","□",入力用!G111)</f>
        <v>□</v>
      </c>
      <c r="P35" s="556" t="str">
        <f>IF(入力用!E119="","（　　）",入力用!E119)</f>
        <v>（　　）</v>
      </c>
      <c r="Q35" s="565" t="str">
        <f>IF(入力用!H111="","□",入力用!H111)</f>
        <v>□</v>
      </c>
      <c r="R35" s="566" t="str">
        <f>IF(入力用!G119="","（　　）",入力用!G119)</f>
        <v>（　　）</v>
      </c>
      <c r="S35" s="87"/>
    </row>
    <row r="36" spans="2:19" ht="13.5" customHeight="1" x14ac:dyDescent="0.15">
      <c r="B36" s="207" t="str">
        <f>IF(入力用!C58="","〔　　　　　　　 　　　　　　　　　　  　　　　〕",入力用!C58)</f>
        <v>〔　　　　　　　 　　　　　　　　　　  　　　　〕</v>
      </c>
      <c r="C36" s="208"/>
      <c r="D36" s="171">
        <v>1</v>
      </c>
      <c r="E36" s="175" t="str">
        <f>IF(入力用!F58="✓","✓","□")</f>
        <v>□</v>
      </c>
      <c r="F36" s="209" t="str">
        <f>IF(入力用!C64="","〔　　　　　　　　　　　　　　　　   　　　　〕",入力用!C64)</f>
        <v>〔　　　　　　　　　　　　　　　　   　　　　〕</v>
      </c>
      <c r="G36" s="171">
        <v>1</v>
      </c>
      <c r="H36" s="175" t="str">
        <f>IF(入力用!F64="✓","✓","□")</f>
        <v>□</v>
      </c>
      <c r="I36" s="210"/>
      <c r="J36" s="211"/>
      <c r="L36" s="182"/>
      <c r="M36" s="468" t="str">
        <f>IF(入力用!C112="","〔　　　　　　　　　　　　　　　　   　　　　　　　　〕",入力用!C112)</f>
        <v>〔　　　　　　　　　　　　　　　　   　　　　　　　　〕</v>
      </c>
      <c r="N36" s="454" t="str">
        <f>IF(入力用!D112="","（　　）",入力用!D112)</f>
        <v>（　　）</v>
      </c>
      <c r="O36" s="555" t="str">
        <f>IF(入力用!G112="","□",入力用!G112)</f>
        <v>□</v>
      </c>
      <c r="P36" s="556" t="str">
        <f>IF(入力用!E120="","（　　）",入力用!E120)</f>
        <v>（　　）</v>
      </c>
      <c r="Q36" s="565" t="str">
        <f>IF(入力用!H112="","□",入力用!H112)</f>
        <v>□</v>
      </c>
      <c r="R36" s="566" t="str">
        <f>IF(入力用!G120="","（　　）",入力用!G120)</f>
        <v>（　　）</v>
      </c>
      <c r="S36" s="87"/>
    </row>
    <row r="37" spans="2:19" ht="13.5" customHeight="1" x14ac:dyDescent="0.15">
      <c r="B37" s="207" t="str">
        <f>IF(入力用!C59="","〔　　　　　　　 　　　　　　　　　　  　　　　〕",入力用!C59)</f>
        <v>〔　　　　　　　 　　　　　　　　　　  　　　　〕</v>
      </c>
      <c r="C37" s="208"/>
      <c r="D37" s="171">
        <v>1</v>
      </c>
      <c r="E37" s="172" t="str">
        <f>IF(入力用!F59="✓","✓","□")</f>
        <v>□</v>
      </c>
      <c r="F37" s="209" t="str">
        <f>IF(入力用!C65="","〔　　　　　　　　　　　　　　　　   　　　　〕",入力用!C65)</f>
        <v>〔　　　　　　　　　　　　　　　　   　　　　〕</v>
      </c>
      <c r="G37" s="171">
        <v>1</v>
      </c>
      <c r="H37" s="172" t="str">
        <f>IF(入力用!F65="✓","✓","□")</f>
        <v>□</v>
      </c>
      <c r="I37" s="210"/>
      <c r="J37" s="211"/>
      <c r="L37" s="182"/>
      <c r="M37" s="71" t="s">
        <v>35</v>
      </c>
      <c r="N37" s="72"/>
      <c r="O37" s="73" t="s">
        <v>81</v>
      </c>
      <c r="P37" s="108"/>
      <c r="Q37" s="64" t="s">
        <v>82</v>
      </c>
      <c r="R37" s="65"/>
      <c r="S37" s="87"/>
    </row>
    <row r="38" spans="2:19" ht="13.5" customHeight="1" x14ac:dyDescent="0.15">
      <c r="B38" s="207" t="str">
        <f>IF(入力用!C60="","〔　　　　　　　 　　　　　　　　　　  　　　　〕",入力用!C60)</f>
        <v>〔　　　　　　　 　　　　　　　　　　  　　　　〕</v>
      </c>
      <c r="C38" s="208"/>
      <c r="D38" s="146">
        <v>1</v>
      </c>
      <c r="E38" s="172" t="str">
        <f>IF(入力用!F60="✓","✓","□")</f>
        <v>□</v>
      </c>
      <c r="F38" s="209" t="str">
        <f>IF(入力用!C66="","〔　　　　　　　　　　　　　　　　   　　　　〕",入力用!C66)</f>
        <v>〔　　　　　　　　　　　　　　　　   　　　　〕</v>
      </c>
      <c r="G38" s="146">
        <v>1</v>
      </c>
      <c r="H38" s="172" t="str">
        <f>IF(入力用!F66="✓","✓","□")</f>
        <v>□</v>
      </c>
      <c r="I38" s="212"/>
      <c r="J38" s="211"/>
      <c r="L38" s="182"/>
      <c r="M38" s="115"/>
      <c r="N38" s="116"/>
      <c r="O38" s="76"/>
      <c r="P38" s="77" t="s">
        <v>59</v>
      </c>
      <c r="Q38" s="78"/>
      <c r="R38" s="79" t="s">
        <v>59</v>
      </c>
      <c r="S38" s="87"/>
    </row>
    <row r="39" spans="2:19" ht="14.25" customHeight="1" thickBot="1" x14ac:dyDescent="0.2">
      <c r="B39" s="207" t="str">
        <f>IF(入力用!C61="","〔　　　　　　　 　　　　　　　　　　  　　　　〕",入力用!C61)</f>
        <v>〔　　　　　　　 　　　　　　　　　　  　　　　〕</v>
      </c>
      <c r="C39" s="195"/>
      <c r="D39" s="198">
        <v>1</v>
      </c>
      <c r="E39" s="213" t="str">
        <f>IF(入力用!F61="✓","✓","□")</f>
        <v>□</v>
      </c>
      <c r="F39" s="214" t="str">
        <f>IF(入力用!C67="","〔　　　　　　　　　　　　　　　　   　　　　〕",入力用!C67)</f>
        <v>〔　　　　　　　　　　　　　　　　   　　　　〕</v>
      </c>
      <c r="G39" s="198">
        <v>1</v>
      </c>
      <c r="H39" s="213" t="str">
        <f>IF(入力用!F67="✓","✓","□")</f>
        <v>□</v>
      </c>
      <c r="I39" s="200" t="s">
        <v>59</v>
      </c>
      <c r="J39" s="201" t="s">
        <v>61</v>
      </c>
      <c r="L39" s="182"/>
      <c r="M39" s="87"/>
      <c r="N39" s="87"/>
      <c r="O39" s="87"/>
      <c r="P39" s="87"/>
      <c r="Q39" s="87"/>
      <c r="R39" s="87"/>
      <c r="S39" s="87"/>
    </row>
    <row r="40" spans="2:19" ht="13.5" customHeight="1" x14ac:dyDescent="0.15">
      <c r="B40" s="215" t="s">
        <v>76</v>
      </c>
      <c r="C40" s="216"/>
      <c r="D40" s="217" t="s">
        <v>210</v>
      </c>
      <c r="E40" s="216"/>
      <c r="F40" s="217" t="str">
        <f>IF(入力用!C7="","（　　　         　　　　語）",入力用!C7)</f>
        <v>（　　　         　　　　語）</v>
      </c>
      <c r="G40" s="216"/>
      <c r="H40" s="469"/>
      <c r="I40" s="545"/>
      <c r="J40" s="546"/>
      <c r="L40" s="218"/>
      <c r="M40" s="219"/>
      <c r="N40" s="219"/>
      <c r="O40" s="219"/>
      <c r="P40" s="219"/>
      <c r="Q40" s="219"/>
      <c r="R40" s="219"/>
      <c r="S40" s="219"/>
    </row>
    <row r="41" spans="2:19" ht="14.25" customHeight="1" x14ac:dyDescent="0.15">
      <c r="B41" s="470" t="str">
        <f>IF(入力用!C69="","〔　　　　　　　 　　　　　　　　　　  　　　　〕",入力用!C69)</f>
        <v>〔　　　　　　　 　　　　　　　　　　  　　　　〕</v>
      </c>
      <c r="C41" s="471"/>
      <c r="D41" s="472" t="str">
        <f>IF(入力用!D69="","（　　）",入力用!D69)</f>
        <v>（　　）</v>
      </c>
      <c r="E41" s="165" t="str">
        <f>IF(入力用!F69="✓","✓","□")</f>
        <v>□</v>
      </c>
      <c r="F41" s="473" t="str">
        <f>IF(入力用!C71="","〔　　　　　　　　　　　　　　　　   　　　　〕",入力用!C71)</f>
        <v>〔　　　　　　　　　　　　　　　　   　　　　〕</v>
      </c>
      <c r="G41" s="472" t="str">
        <f>IF(入力用!D71="","（　　）",入力用!D71)</f>
        <v>（　　）</v>
      </c>
      <c r="H41" s="165" t="str">
        <f>IF(入力用!F71="✓","✓","□")</f>
        <v>□</v>
      </c>
      <c r="I41" s="193"/>
      <c r="J41" s="168"/>
      <c r="L41" s="218"/>
      <c r="M41" s="219"/>
      <c r="N41" s="219"/>
      <c r="O41" s="219"/>
      <c r="P41" s="219"/>
      <c r="Q41" s="219"/>
      <c r="R41" s="219"/>
      <c r="S41" s="219"/>
    </row>
    <row r="42" spans="2:19" ht="15" customHeight="1" thickBot="1" x14ac:dyDescent="0.2">
      <c r="B42" s="470" t="str">
        <f>IF(入力用!C70="","〔　　　　　　　 　　　　　　　　　　  　　　　〕",入力用!C70)</f>
        <v>〔　　　　　　　 　　　　　　　　　　  　　　　〕</v>
      </c>
      <c r="C42" s="474"/>
      <c r="D42" s="198" t="str">
        <f>IF(入力用!D70="","（　　）",入力用!D70)</f>
        <v>（　　）</v>
      </c>
      <c r="E42" s="213" t="str">
        <f>IF(入力用!F70="✓","✓","□")</f>
        <v>□</v>
      </c>
      <c r="F42" s="475" t="str">
        <f>IF(入力用!C72="","〔　　　　　　　　　　　　　　　　   　　　　〕",入力用!C72)</f>
        <v>〔　　　　　　　　　　　　　　　　   　　　　〕</v>
      </c>
      <c r="G42" s="198" t="str">
        <f>IF(入力用!D72="","（　　）",入力用!D72)</f>
        <v>（　　）</v>
      </c>
      <c r="H42" s="213" t="str">
        <f>IF(入力用!F72="✓","✓","□")</f>
        <v>□</v>
      </c>
      <c r="I42" s="200" t="s">
        <v>59</v>
      </c>
      <c r="J42" s="201" t="s">
        <v>64</v>
      </c>
      <c r="L42" s="218"/>
      <c r="M42" s="228"/>
      <c r="N42" s="219"/>
      <c r="O42" s="219"/>
      <c r="P42" s="219"/>
      <c r="Q42" s="219"/>
      <c r="R42" s="219"/>
      <c r="S42" s="219"/>
    </row>
    <row r="43" spans="2:19" ht="15" customHeight="1" x14ac:dyDescent="0.15">
      <c r="B43" s="268" t="s">
        <v>408</v>
      </c>
      <c r="C43" s="229"/>
      <c r="D43" s="230"/>
      <c r="E43" s="230"/>
      <c r="F43" s="231"/>
      <c r="G43" s="232"/>
      <c r="H43" s="233"/>
      <c r="I43" s="142" t="s">
        <v>65</v>
      </c>
      <c r="J43" s="143"/>
      <c r="L43" s="218"/>
      <c r="M43" s="476"/>
      <c r="N43" s="476"/>
      <c r="O43" s="234"/>
      <c r="P43" s="234"/>
      <c r="Q43" s="477"/>
      <c r="R43" s="477"/>
      <c r="S43" s="219"/>
    </row>
    <row r="44" spans="2:19" ht="15" customHeight="1" x14ac:dyDescent="0.15">
      <c r="B44" s="235" t="str">
        <f>IF(入力用!C74="","〔　　　　　　　 　　　　　　　　　　  　　　　〕",入力用!C74)</f>
        <v>〔　　　　　　　 　　　　　　　　　　  　　　　〕</v>
      </c>
      <c r="C44" s="236"/>
      <c r="D44" s="237" t="str">
        <f>IF(入力用!D74="","（　　）",入力用!D74)</f>
        <v>（　　）</v>
      </c>
      <c r="E44" s="238" t="str">
        <f>IF(入力用!F74="✓","✓","□")</f>
        <v>□</v>
      </c>
      <c r="F44" s="239" t="str">
        <f>IF(入力用!C76="","〔　　　　　　　　　　　　　　　　   　　　　〕",入力用!C76)</f>
        <v>〔　　　　　　　　　　　　　　　　   　　　　〕</v>
      </c>
      <c r="G44" s="237" t="str">
        <f>IF(入力用!D76="","（　　）",入力用!D76)</f>
        <v>（　　）</v>
      </c>
      <c r="H44" s="238" t="str">
        <f>IF(入力用!F76="✓","✓","□")</f>
        <v>□</v>
      </c>
      <c r="I44" s="151"/>
      <c r="J44" s="152"/>
      <c r="L44" s="218"/>
      <c r="M44" s="476"/>
      <c r="N44" s="476"/>
      <c r="O44" s="234"/>
      <c r="P44" s="234"/>
      <c r="Q44" s="477"/>
      <c r="R44" s="477"/>
      <c r="S44" s="219"/>
    </row>
    <row r="45" spans="2:19" ht="15" customHeight="1" x14ac:dyDescent="0.15">
      <c r="B45" s="240" t="str">
        <f>IF(入力用!C75="","〔　　　　　　　 　　　　　　　　　　  　　　　〕",入力用!C75)</f>
        <v>〔　　　　　　　 　　　　　　　　　　  　　　　〕</v>
      </c>
      <c r="C45" s="241"/>
      <c r="D45" s="242" t="str">
        <f>IF(入力用!D75="","（　　）",入力用!D75)</f>
        <v>（　　）</v>
      </c>
      <c r="E45" s="243" t="str">
        <f>IF(入力用!F75="✓","✓","□")</f>
        <v>□</v>
      </c>
      <c r="F45" s="244" t="str">
        <f>IF(入力用!C77="","〔　　　　　　　　　　　　　　　　   　　　　〕",入力用!C77)</f>
        <v>〔　　　　　　　　　　　　　　　　   　　　　〕</v>
      </c>
      <c r="G45" s="242" t="str">
        <f>IF(入力用!D77="","（　　）",入力用!D77)</f>
        <v>（　　）</v>
      </c>
      <c r="H45" s="243" t="str">
        <f>IF(入力用!F77="✓","✓","□")</f>
        <v>□</v>
      </c>
      <c r="I45" s="245"/>
      <c r="J45" s="246" t="s">
        <v>59</v>
      </c>
      <c r="L45" s="218"/>
      <c r="M45" s="476"/>
      <c r="N45" s="476"/>
      <c r="O45" s="234"/>
      <c r="P45" s="234"/>
      <c r="Q45" s="477"/>
      <c r="R45" s="477"/>
      <c r="S45" s="219"/>
    </row>
    <row r="46" spans="2:19" ht="14.25" customHeight="1" x14ac:dyDescent="0.15">
      <c r="B46" s="478" t="s">
        <v>448</v>
      </c>
      <c r="C46" s="160"/>
      <c r="D46" s="248"/>
      <c r="E46" s="248"/>
      <c r="F46" s="160"/>
      <c r="G46" s="248"/>
      <c r="H46" s="249"/>
      <c r="I46" s="250" t="s">
        <v>66</v>
      </c>
      <c r="J46" s="251"/>
      <c r="L46" s="218"/>
      <c r="M46" s="476"/>
      <c r="N46" s="476"/>
      <c r="O46" s="234"/>
      <c r="P46" s="234"/>
      <c r="Q46" s="477"/>
      <c r="R46" s="477"/>
      <c r="S46" s="219"/>
    </row>
    <row r="47" spans="2:19" ht="13.5" customHeight="1" x14ac:dyDescent="0.15">
      <c r="B47" s="153" t="str">
        <f>IF(入力用!C79="","〔　　　　　　　 　　　　　　　　　　  　　　　〕",入力用!C79)</f>
        <v>〔　　　　　　　 　　　　　　　　　　  　　　　〕</v>
      </c>
      <c r="C47" s="154"/>
      <c r="D47" s="155" t="str">
        <f>IF(入力用!D79="","（　　）",入力用!D80)</f>
        <v>（　　）</v>
      </c>
      <c r="E47" s="479" t="str">
        <f>IF(入力用!H79="✓","✓","□")</f>
        <v>□</v>
      </c>
      <c r="F47" s="157" t="str">
        <f>IF(入力用!C80="","〔　　　　　　　　　　　　　　　　   　　　　〕",入力用!C80)</f>
        <v>〔　　　　　　　　　　　　　　　　   　　　　〕</v>
      </c>
      <c r="G47" s="155" t="str">
        <f>IF(入力用!D80="","（　　）",入力用!D80)</f>
        <v>（　　）</v>
      </c>
      <c r="H47" s="479" t="str">
        <f>IF(入力用!H80="✓","✓","□")</f>
        <v>□</v>
      </c>
      <c r="I47" s="78"/>
      <c r="J47" s="257" t="s">
        <v>59</v>
      </c>
      <c r="L47" s="218"/>
      <c r="M47" s="219"/>
      <c r="N47" s="219"/>
      <c r="O47" s="219"/>
      <c r="P47" s="219"/>
      <c r="Q47" s="219"/>
      <c r="R47" s="219"/>
      <c r="S47" s="219"/>
    </row>
    <row r="48" spans="2:19" ht="13.5" customHeight="1" x14ac:dyDescent="0.15">
      <c r="L48" s="218"/>
      <c r="M48" s="228"/>
      <c r="N48" s="219"/>
      <c r="O48" s="219"/>
      <c r="P48" s="219"/>
      <c r="Q48" s="219"/>
      <c r="R48" s="219"/>
      <c r="S48" s="258"/>
    </row>
    <row r="49" spans="2:19" ht="15" customHeight="1" thickBot="1" x14ac:dyDescent="0.2">
      <c r="B49" s="94" t="s">
        <v>6</v>
      </c>
      <c r="C49" s="47"/>
      <c r="D49" s="47"/>
      <c r="E49" s="47"/>
      <c r="L49" s="218"/>
      <c r="M49" s="480"/>
      <c r="N49" s="480"/>
      <c r="O49" s="234"/>
      <c r="P49" s="234"/>
      <c r="Q49" s="477"/>
      <c r="R49" s="477"/>
      <c r="S49" s="258"/>
    </row>
    <row r="50" spans="2:19" ht="14.25" customHeight="1" thickBot="1" x14ac:dyDescent="0.2">
      <c r="B50" s="448" t="s">
        <v>56</v>
      </c>
      <c r="C50" s="449"/>
      <c r="D50" s="450"/>
      <c r="E50" s="450"/>
      <c r="F50" s="450"/>
      <c r="G50" s="451">
        <v>1</v>
      </c>
      <c r="H50" s="97" t="str">
        <f>IF(入力用!F81="✓","✓","□")</f>
        <v>□</v>
      </c>
      <c r="I50" s="98"/>
      <c r="J50" s="452" t="s">
        <v>59</v>
      </c>
      <c r="L50" s="218"/>
      <c r="M50" s="480"/>
      <c r="N50" s="480"/>
      <c r="O50" s="234"/>
      <c r="P50" s="234"/>
      <c r="Q50" s="477"/>
      <c r="R50" s="477"/>
      <c r="S50" s="258"/>
    </row>
    <row r="51" spans="2:19" ht="14.25" customHeight="1" x14ac:dyDescent="0.15">
      <c r="L51" s="218"/>
      <c r="M51" s="480"/>
      <c r="N51" s="480"/>
      <c r="O51" s="234"/>
      <c r="P51" s="234"/>
      <c r="Q51" s="477"/>
      <c r="R51" s="477"/>
      <c r="S51" s="219"/>
    </row>
    <row r="52" spans="2:19" ht="13.5" customHeight="1" thickBot="1" x14ac:dyDescent="0.2">
      <c r="B52" s="94" t="s">
        <v>4</v>
      </c>
      <c r="L52" s="218"/>
      <c r="M52" s="480"/>
      <c r="N52" s="480"/>
      <c r="O52" s="234"/>
      <c r="P52" s="234"/>
      <c r="Q52" s="477"/>
      <c r="R52" s="477"/>
      <c r="S52" s="219"/>
    </row>
    <row r="53" spans="2:19" ht="15" customHeight="1" thickBot="1" x14ac:dyDescent="0.2">
      <c r="B53" s="448" t="s">
        <v>55</v>
      </c>
      <c r="C53" s="449"/>
      <c r="D53" s="450"/>
      <c r="E53" s="450"/>
      <c r="F53" s="451"/>
      <c r="G53" s="481">
        <v>1</v>
      </c>
      <c r="H53" s="97" t="str">
        <f>IF(入力用!F84="✓","✓","□")</f>
        <v>□</v>
      </c>
      <c r="I53" s="98"/>
      <c r="J53" s="452" t="s">
        <v>59</v>
      </c>
      <c r="L53" s="218"/>
      <c r="M53" s="219"/>
      <c r="N53" s="219"/>
      <c r="O53" s="219"/>
      <c r="P53" s="219" t="s">
        <v>199</v>
      </c>
      <c r="Q53" s="219"/>
      <c r="R53" s="219"/>
      <c r="S53" s="219"/>
    </row>
    <row r="54" spans="2:19" ht="14.25" customHeight="1" x14ac:dyDescent="0.15">
      <c r="B54" s="235" t="s">
        <v>407</v>
      </c>
      <c r="C54" s="87"/>
      <c r="D54" s="87"/>
      <c r="E54" s="87"/>
      <c r="F54" s="231"/>
      <c r="G54" s="232"/>
      <c r="H54" s="457"/>
      <c r="I54" s="269" t="s">
        <v>67</v>
      </c>
      <c r="J54" s="270"/>
      <c r="L54" s="218"/>
      <c r="M54" s="219"/>
      <c r="N54" s="219"/>
      <c r="O54" s="219"/>
      <c r="P54" s="219"/>
      <c r="Q54" s="219"/>
      <c r="R54" s="219"/>
      <c r="S54" s="219"/>
    </row>
    <row r="55" spans="2:19" ht="13.5" customHeight="1" x14ac:dyDescent="0.15">
      <c r="B55" s="144" t="str">
        <f>IF(入力用!C84="","〔　　　　　　　 　　　　　　　　　　  　　　　〕",入力用!C84)</f>
        <v>〔　　　　　　　 　　　　　　　　　　  　　　　〕</v>
      </c>
      <c r="C55" s="145"/>
      <c r="D55" s="146" t="str">
        <f>IF(入力用!D84="","（　　）",入力用!D84)</f>
        <v>（　　）</v>
      </c>
      <c r="E55" s="147" t="str">
        <f>IF(入力用!G84="✓","✓","□")</f>
        <v>□</v>
      </c>
      <c r="F55" s="148" t="str">
        <f>IF(入力用!C86="","〔　　　　　　　　　　　　　　　　   　　　　〕",入力用!C86)</f>
        <v>〔　　　　　　　　　　　　　　　　   　　　　〕</v>
      </c>
      <c r="G55" s="146" t="str">
        <f>IF(入力用!D86="","（　　）",入力用!D86)</f>
        <v>（　　）</v>
      </c>
      <c r="H55" s="147" t="str">
        <f>IF(入力用!G86="✓","✓","□")</f>
        <v>□</v>
      </c>
      <c r="I55" s="274"/>
      <c r="J55" s="275"/>
      <c r="L55" s="218"/>
      <c r="M55" s="219"/>
      <c r="N55" s="219"/>
      <c r="O55" s="219"/>
      <c r="P55" s="219"/>
      <c r="Q55" s="219"/>
      <c r="R55" s="219"/>
      <c r="S55" s="219"/>
    </row>
    <row r="56" spans="2:19" ht="13.5" customHeight="1" x14ac:dyDescent="0.15">
      <c r="B56" s="153" t="str">
        <f>IF(入力用!C85="","〔　　　　　　　 　　　　　　　　　　  　　　　〕",入力用!C85)</f>
        <v>〔　　　　　　　 　　　　　　　　　　  　　　　〕</v>
      </c>
      <c r="C56" s="154"/>
      <c r="D56" s="155" t="str">
        <f>IF(入力用!D85="","（　　）",入力用!D85)</f>
        <v>（　　）</v>
      </c>
      <c r="E56" s="156" t="str">
        <f>IF(入力用!G85="✓","✓","□")</f>
        <v>□</v>
      </c>
      <c r="F56" s="157" t="str">
        <f>IF(入力用!C87="","〔　　　　　　　　　　　　　　　　   　　　　〕",入力用!C87)</f>
        <v>〔　　　　　　　　　　　　　　　　   　　　　〕</v>
      </c>
      <c r="G56" s="155" t="str">
        <f>IF(入力用!D87="","（　　）",入力用!D87)</f>
        <v>（　　）</v>
      </c>
      <c r="H56" s="156" t="str">
        <f>IF(入力用!G87="✓","✓","□")</f>
        <v>□</v>
      </c>
      <c r="I56" s="277"/>
      <c r="J56" s="278" t="s">
        <v>59</v>
      </c>
      <c r="L56" s="218"/>
      <c r="M56" s="219"/>
      <c r="N56" s="219"/>
      <c r="O56" s="219"/>
      <c r="P56" s="219"/>
      <c r="Q56" s="219"/>
      <c r="R56" s="219"/>
      <c r="S56" s="219"/>
    </row>
    <row r="57" spans="2:19" ht="13.5" customHeight="1" x14ac:dyDescent="0.15">
      <c r="L57" s="218"/>
      <c r="M57" s="219"/>
      <c r="N57" s="219"/>
      <c r="O57" s="219"/>
      <c r="P57" s="219"/>
      <c r="Q57" s="219"/>
      <c r="R57" s="219"/>
      <c r="S57" s="219"/>
    </row>
    <row r="58" spans="2:19" ht="13.5" customHeight="1" x14ac:dyDescent="0.15">
      <c r="L58" s="218"/>
      <c r="M58" s="219"/>
      <c r="N58" s="219"/>
      <c r="O58" s="219"/>
      <c r="P58" s="219"/>
      <c r="Q58" s="219"/>
      <c r="R58" s="219"/>
      <c r="S58" s="219"/>
    </row>
    <row r="59" spans="2:19" x14ac:dyDescent="0.15">
      <c r="M59" s="87"/>
      <c r="N59" s="87"/>
      <c r="O59" s="87"/>
      <c r="P59" s="87"/>
      <c r="Q59" s="87"/>
      <c r="R59" s="87"/>
      <c r="S59" s="87"/>
    </row>
    <row r="60" spans="2:19" ht="13.5" customHeight="1" x14ac:dyDescent="0.15">
      <c r="S60" s="87"/>
    </row>
    <row r="61" spans="2:19" ht="15.95" customHeight="1" x14ac:dyDescent="0.15">
      <c r="B61" s="279" t="s">
        <v>202</v>
      </c>
      <c r="S61" s="87"/>
    </row>
    <row r="62" spans="2:19" ht="15.95" customHeight="1" x14ac:dyDescent="0.15">
      <c r="B62" s="280" t="s">
        <v>26</v>
      </c>
      <c r="S62" s="87"/>
    </row>
    <row r="63" spans="2:19" ht="8.1" customHeight="1" x14ac:dyDescent="0.15">
      <c r="S63" s="87"/>
    </row>
    <row r="64" spans="2:19" ht="14.25" x14ac:dyDescent="0.15">
      <c r="B64" s="93" t="s">
        <v>2</v>
      </c>
      <c r="S64" s="87"/>
    </row>
    <row r="65" spans="2:19" ht="14.25" thickBot="1" x14ac:dyDescent="0.2">
      <c r="B65" s="95" t="s">
        <v>32</v>
      </c>
      <c r="C65" s="95"/>
      <c r="D65" s="95"/>
      <c r="E65" s="95"/>
      <c r="F65" s="281"/>
      <c r="G65" s="281"/>
      <c r="H65" s="281"/>
      <c r="I65" s="100"/>
      <c r="J65" s="95"/>
      <c r="K65" s="95"/>
      <c r="M65" s="95" t="s">
        <v>27</v>
      </c>
      <c r="N65" s="87"/>
      <c r="O65" s="87"/>
      <c r="P65" s="87"/>
      <c r="Q65" s="87"/>
      <c r="R65" s="87"/>
      <c r="S65" s="87"/>
    </row>
    <row r="66" spans="2:19" ht="13.5" customHeight="1" x14ac:dyDescent="0.15">
      <c r="B66" s="282" t="s">
        <v>20</v>
      </c>
      <c r="C66" s="283"/>
      <c r="D66" s="284">
        <v>1</v>
      </c>
      <c r="E66" s="285" t="str">
        <f>IF(入力用!F117="✓","✓","□")</f>
        <v>□</v>
      </c>
      <c r="F66" s="286" t="s">
        <v>70</v>
      </c>
      <c r="G66" s="284">
        <v>1</v>
      </c>
      <c r="H66" s="287" t="str">
        <f>IF(入力用!F121="✓","✓","□")</f>
        <v>□</v>
      </c>
      <c r="I66" s="288"/>
      <c r="J66" s="289"/>
      <c r="K66" s="290"/>
      <c r="M66" s="525" t="s">
        <v>15</v>
      </c>
      <c r="N66" s="526"/>
      <c r="O66" s="440"/>
      <c r="P66" s="533"/>
      <c r="Q66" s="535" t="s">
        <v>59</v>
      </c>
      <c r="R66" s="537" t="s">
        <v>104</v>
      </c>
      <c r="S66" s="87"/>
    </row>
    <row r="67" spans="2:19" ht="14.25" customHeight="1" thickBot="1" x14ac:dyDescent="0.2">
      <c r="B67" s="291" t="s">
        <v>21</v>
      </c>
      <c r="C67" s="292"/>
      <c r="D67" s="293">
        <v>1</v>
      </c>
      <c r="E67" s="294" t="str">
        <f>IF(入力用!F118="✓","✓","□")</f>
        <v>□</v>
      </c>
      <c r="F67" s="281" t="s">
        <v>71</v>
      </c>
      <c r="G67" s="293">
        <v>1</v>
      </c>
      <c r="H67" s="295" t="str">
        <f>IF(入力用!F122="✓","✓","□")</f>
        <v>□</v>
      </c>
      <c r="I67" s="296"/>
      <c r="J67" s="297"/>
      <c r="K67" s="298"/>
      <c r="M67" s="527"/>
      <c r="N67" s="528"/>
      <c r="O67" s="441"/>
      <c r="P67" s="534"/>
      <c r="Q67" s="536"/>
      <c r="R67" s="538"/>
      <c r="S67" s="87"/>
    </row>
    <row r="68" spans="2:19" ht="14.25" customHeight="1" x14ac:dyDescent="0.15">
      <c r="B68" s="291" t="s">
        <v>22</v>
      </c>
      <c r="C68" s="292"/>
      <c r="D68" s="293">
        <v>1</v>
      </c>
      <c r="E68" s="294" t="str">
        <f>IF(入力用!F119="✓","✓","□")</f>
        <v>□</v>
      </c>
      <c r="F68" s="281" t="s">
        <v>72</v>
      </c>
      <c r="G68" s="293">
        <v>1</v>
      </c>
      <c r="H68" s="295" t="str">
        <f>IF(入力用!F123="✓","✓","□")</f>
        <v>□</v>
      </c>
      <c r="I68" s="299"/>
      <c r="J68" s="300"/>
      <c r="K68" s="301"/>
      <c r="S68" s="87"/>
    </row>
    <row r="69" spans="2:19" ht="14.25" customHeight="1" thickBot="1" x14ac:dyDescent="0.2">
      <c r="B69" s="302" t="s">
        <v>23</v>
      </c>
      <c r="C69" s="303"/>
      <c r="D69" s="304">
        <v>1</v>
      </c>
      <c r="E69" s="305" t="str">
        <f>IF(入力用!F120="✓","✓","□")</f>
        <v>□</v>
      </c>
      <c r="F69" s="306"/>
      <c r="G69" s="307"/>
      <c r="H69" s="308"/>
      <c r="I69" s="309" t="s">
        <v>198</v>
      </c>
      <c r="J69" s="310" t="s">
        <v>88</v>
      </c>
      <c r="K69" s="311"/>
      <c r="M69" s="95" t="s">
        <v>28</v>
      </c>
      <c r="N69" s="87"/>
      <c r="O69" s="87"/>
      <c r="P69" s="87"/>
      <c r="Q69" s="87"/>
      <c r="R69" s="87"/>
      <c r="S69" s="87"/>
    </row>
    <row r="70" spans="2:19" ht="14.25" customHeight="1" x14ac:dyDescent="0.15">
      <c r="M70" s="529" t="s">
        <v>31</v>
      </c>
      <c r="N70" s="530"/>
      <c r="O70" s="312"/>
      <c r="P70" s="539"/>
      <c r="Q70" s="541" t="s">
        <v>59</v>
      </c>
      <c r="R70" s="543" t="s">
        <v>39</v>
      </c>
      <c r="S70" s="87"/>
    </row>
    <row r="71" spans="2:19" ht="14.25" thickBot="1" x14ac:dyDescent="0.2">
      <c r="B71" s="95" t="s">
        <v>33</v>
      </c>
      <c r="C71" s="95"/>
      <c r="D71" s="95"/>
      <c r="E71" s="95"/>
      <c r="F71" s="281"/>
      <c r="G71" s="281"/>
      <c r="H71" s="281"/>
      <c r="I71" s="100"/>
      <c r="J71" s="100"/>
      <c r="K71" s="100"/>
      <c r="L71" s="281"/>
      <c r="M71" s="531"/>
      <c r="N71" s="532"/>
      <c r="O71" s="313"/>
      <c r="P71" s="540"/>
      <c r="Q71" s="542"/>
      <c r="R71" s="544"/>
      <c r="S71" s="87"/>
    </row>
    <row r="72" spans="2:19" ht="13.5" customHeight="1" x14ac:dyDescent="0.15">
      <c r="B72" s="314" t="s">
        <v>101</v>
      </c>
      <c r="C72" s="314"/>
      <c r="D72" s="315"/>
      <c r="E72" s="315"/>
      <c r="F72" s="315"/>
      <c r="G72" s="315"/>
      <c r="H72" s="316" t="str">
        <f>IF(入力用!F125="✓","✓","□")</f>
        <v>□</v>
      </c>
      <c r="I72" s="317"/>
      <c r="J72" s="318"/>
      <c r="K72" s="319"/>
      <c r="S72" s="87"/>
    </row>
    <row r="73" spans="2:19" ht="13.5" customHeight="1" thickBot="1" x14ac:dyDescent="0.2">
      <c r="B73" s="320"/>
      <c r="C73" s="446" t="s">
        <v>219</v>
      </c>
      <c r="D73" s="322" t="str">
        <f>IF(入力用!C8="","",入力用!C8)</f>
        <v/>
      </c>
      <c r="E73" s="323" t="s">
        <v>102</v>
      </c>
      <c r="F73" s="324"/>
      <c r="G73" s="324"/>
      <c r="H73" s="326"/>
      <c r="I73" s="327" t="s">
        <v>198</v>
      </c>
      <c r="J73" s="328" t="s">
        <v>90</v>
      </c>
      <c r="K73" s="114"/>
      <c r="S73" s="87"/>
    </row>
    <row r="74" spans="2:19" ht="13.5" customHeight="1" thickTop="1" thickBot="1" x14ac:dyDescent="0.2">
      <c r="B74" s="329" t="s">
        <v>403</v>
      </c>
      <c r="C74" s="330"/>
      <c r="D74" s="330"/>
      <c r="E74" s="330"/>
      <c r="F74" s="331"/>
      <c r="G74" s="331"/>
      <c r="H74" s="332"/>
      <c r="I74" s="205"/>
      <c r="J74" s="333"/>
      <c r="K74" s="168"/>
      <c r="M74" s="573" t="s">
        <v>197</v>
      </c>
      <c r="N74" s="574"/>
      <c r="O74" s="577"/>
      <c r="P74" s="578"/>
      <c r="Q74" s="581" t="s">
        <v>59</v>
      </c>
      <c r="R74" s="582"/>
      <c r="S74" s="87"/>
    </row>
    <row r="75" spans="2:19" ht="13.5" customHeight="1" thickTop="1" thickBot="1" x14ac:dyDescent="0.2">
      <c r="B75" s="334" t="str">
        <f>IF(入力用!C127="","〔　　　　　　　 　　　　　　　　　　  　　　　〕",入力用!C127)</f>
        <v>〔　　　　　　　 　　　　　　　　　　  　　　　〕</v>
      </c>
      <c r="C75" s="443"/>
      <c r="D75" s="336">
        <v>1</v>
      </c>
      <c r="E75" s="337" t="str">
        <f>IF(入力用!F127="✓","✓","□")</f>
        <v>□</v>
      </c>
      <c r="F75" s="338" t="str">
        <f>IF(入力用!C128="","〔　　　　　　　　　　　　　　　　   　　　　〕",入力用!C128)</f>
        <v>〔　　　　　　　　　　　　　　　　   　　　　〕</v>
      </c>
      <c r="G75" s="336">
        <v>1</v>
      </c>
      <c r="H75" s="339" t="str">
        <f>IF(入力用!F128="✓","✓","□")</f>
        <v>□</v>
      </c>
      <c r="I75" s="340" t="s">
        <v>198</v>
      </c>
      <c r="J75" s="341" t="s">
        <v>89</v>
      </c>
      <c r="K75" s="114"/>
      <c r="M75" s="575"/>
      <c r="N75" s="576"/>
      <c r="O75" s="579"/>
      <c r="P75" s="580"/>
      <c r="Q75" s="581"/>
      <c r="R75" s="582"/>
      <c r="S75" s="87"/>
    </row>
    <row r="76" spans="2:19" ht="13.5" customHeight="1" thickTop="1" thickBot="1" x14ac:dyDescent="0.2">
      <c r="B76" s="329" t="s">
        <v>404</v>
      </c>
      <c r="C76" s="330"/>
      <c r="D76" s="330"/>
      <c r="E76" s="330"/>
      <c r="F76" s="331"/>
      <c r="G76" s="331"/>
      <c r="H76" s="342"/>
      <c r="I76" s="343"/>
      <c r="J76" s="344"/>
      <c r="K76" s="114"/>
      <c r="M76" s="573" t="s">
        <v>105</v>
      </c>
      <c r="N76" s="574"/>
      <c r="O76" s="577"/>
      <c r="P76" s="578"/>
      <c r="Q76" s="581" t="s">
        <v>59</v>
      </c>
      <c r="R76" s="582"/>
      <c r="S76" s="87"/>
    </row>
    <row r="77" spans="2:19" ht="15" thickTop="1" thickBot="1" x14ac:dyDescent="0.2">
      <c r="B77" s="334" t="str">
        <f>IF(入力用!C130="","〔　　　　　　　 　　　　　　　　　　  　　　　〕",入力用!C130)</f>
        <v>〔　　　　　　　 　　　　　　　　　　  　　　　〕</v>
      </c>
      <c r="C77" s="335"/>
      <c r="D77" s="336">
        <v>1</v>
      </c>
      <c r="E77" s="337" t="str">
        <f>IF(入力用!F130="✓","✓","□")</f>
        <v>□</v>
      </c>
      <c r="F77" s="338" t="str">
        <f>IF(入力用!C131="","〔　　　　　　　　　　　　　　　　   　　　　〕",入力用!C131)</f>
        <v>〔　　　　　　　　　　　　　　　　   　　　　〕</v>
      </c>
      <c r="G77" s="336">
        <v>1</v>
      </c>
      <c r="H77" s="337" t="str">
        <f>IF(入力用!F131="✓","✓","□")</f>
        <v>□</v>
      </c>
      <c r="I77" s="340" t="s">
        <v>198</v>
      </c>
      <c r="J77" s="341" t="s">
        <v>89</v>
      </c>
      <c r="K77" s="114"/>
      <c r="M77" s="575"/>
      <c r="N77" s="576"/>
      <c r="O77" s="579"/>
      <c r="P77" s="580"/>
      <c r="Q77" s="581"/>
      <c r="R77" s="582"/>
      <c r="S77" s="44"/>
    </row>
    <row r="78" spans="2:19" ht="13.5" customHeight="1" thickTop="1" x14ac:dyDescent="0.15">
      <c r="B78" s="329" t="s">
        <v>405</v>
      </c>
      <c r="C78" s="330"/>
      <c r="D78" s="330"/>
      <c r="E78" s="330"/>
      <c r="F78" s="331"/>
      <c r="G78" s="331"/>
      <c r="H78" s="342"/>
      <c r="I78" s="343"/>
      <c r="J78" s="344"/>
      <c r="K78" s="114"/>
      <c r="S78" s="44"/>
    </row>
    <row r="79" spans="2:19" ht="13.5" customHeight="1" x14ac:dyDescent="0.15">
      <c r="B79" s="334" t="str">
        <f>IF(入力用!C133="","〔　　　　　　　 　　　　　　　　　　  　　　　〕",入力用!C133)</f>
        <v>〔　　　　　　　 　　　　　　　　　　  　　　　〕</v>
      </c>
      <c r="C79" s="335"/>
      <c r="D79" s="336">
        <v>1</v>
      </c>
      <c r="E79" s="337" t="str">
        <f>IF(入力用!F133="✓","✓","□")</f>
        <v>□</v>
      </c>
      <c r="F79" s="444" t="str">
        <f>IF(入力用!C134="","〔　　　　　　　　　　　　　　　　   　　　　〕",入力用!C134)</f>
        <v>〔　　　　　　　　　　　　　　　　   　　　　〕</v>
      </c>
      <c r="G79" s="336">
        <v>1</v>
      </c>
      <c r="H79" s="337" t="str">
        <f>IF(入力用!F134="✓","✓","□")</f>
        <v>□</v>
      </c>
      <c r="I79" s="340" t="s">
        <v>198</v>
      </c>
      <c r="J79" s="341" t="s">
        <v>89</v>
      </c>
      <c r="K79" s="114"/>
      <c r="S79" s="44"/>
    </row>
    <row r="80" spans="2:19" ht="13.5" customHeight="1" x14ac:dyDescent="0.15">
      <c r="B80" s="482" t="s">
        <v>406</v>
      </c>
      <c r="C80" s="346"/>
      <c r="D80" s="87"/>
      <c r="E80" s="445"/>
      <c r="F80" s="347"/>
      <c r="G80" s="347"/>
      <c r="H80" s="347"/>
      <c r="I80" s="343"/>
      <c r="J80" s="348"/>
      <c r="K80" s="114"/>
      <c r="S80" s="87"/>
    </row>
    <row r="81" spans="2:19" ht="14.25" thickBot="1" x14ac:dyDescent="0.2">
      <c r="B81" s="429" t="s">
        <v>201</v>
      </c>
      <c r="C81" s="350"/>
      <c r="D81" s="87"/>
      <c r="E81" s="351"/>
      <c r="F81" s="352"/>
      <c r="G81" s="352"/>
      <c r="H81" s="352"/>
      <c r="I81" s="343"/>
      <c r="J81" s="348"/>
      <c r="K81" s="114"/>
      <c r="M81" s="94" t="s">
        <v>218</v>
      </c>
      <c r="N81" s="95"/>
      <c r="S81" s="87"/>
    </row>
    <row r="82" spans="2:19" x14ac:dyDescent="0.15">
      <c r="B82" s="291" t="str">
        <f>IF(入力用!C136="","〔　　　　　　　 　　　　　　　　　　  　　　　〕",入力用!C136)</f>
        <v>〔　　　　　　　 　　　　　　　　　　  　　　　〕</v>
      </c>
      <c r="C82" s="44"/>
      <c r="D82" s="293">
        <v>1</v>
      </c>
      <c r="E82" s="294" t="str">
        <f>IF(入力用!F136="✓","✓","□")</f>
        <v>□</v>
      </c>
      <c r="F82" s="353" t="str">
        <f>IF(入力用!C146="","〔　　　　　　　　　　　　　　　　   　　　　〕",入力用!C146)</f>
        <v>〔　　　　　　　　　　　　　　　　   　　　　〕</v>
      </c>
      <c r="G82" s="293">
        <v>1</v>
      </c>
      <c r="H82" s="294" t="str">
        <f>IF(入力用!F146="✓","✓","□")</f>
        <v>□</v>
      </c>
      <c r="I82" s="343"/>
      <c r="J82" s="348"/>
      <c r="K82" s="114"/>
      <c r="M82" s="511" t="s">
        <v>395</v>
      </c>
      <c r="N82" s="512"/>
      <c r="O82" s="515" t="str">
        <f>IF(入力用!C9="","",入力用!C9)</f>
        <v/>
      </c>
      <c r="P82" s="515"/>
      <c r="Q82" s="515"/>
      <c r="R82" s="516"/>
      <c r="S82" s="87"/>
    </row>
    <row r="83" spans="2:19" x14ac:dyDescent="0.15">
      <c r="B83" s="291" t="str">
        <f>IF(入力用!C137="","〔　　　　　　　 　　　　　　　　　　  　　　　〕",入力用!C137)</f>
        <v>〔　　　　　　　 　　　　　　　　　　  　　　　〕</v>
      </c>
      <c r="C83" s="44"/>
      <c r="D83" s="293">
        <v>1</v>
      </c>
      <c r="E83" s="294" t="str">
        <f>IF(入力用!F137="✓","✓","□")</f>
        <v>□</v>
      </c>
      <c r="F83" s="353" t="str">
        <f>IF(入力用!C147="","〔　　　　　　　　　　　　　　　　   　　　　〕",入力用!C147)</f>
        <v>〔　　　　　　　　　　　　　　　　   　　　　〕</v>
      </c>
      <c r="G83" s="293">
        <v>1</v>
      </c>
      <c r="H83" s="294" t="str">
        <f>IF(入力用!F147="✓","✓","□")</f>
        <v>□</v>
      </c>
      <c r="I83" s="343"/>
      <c r="J83" s="348"/>
      <c r="K83" s="114"/>
      <c r="M83" s="513"/>
      <c r="N83" s="514"/>
      <c r="O83" s="517"/>
      <c r="P83" s="517"/>
      <c r="Q83" s="517"/>
      <c r="R83" s="518"/>
      <c r="S83" s="87"/>
    </row>
    <row r="84" spans="2:19" x14ac:dyDescent="0.15">
      <c r="B84" s="291" t="str">
        <f>IF(入力用!C138="","〔　　　　　　　 　　　　　　　　　　  　　　　〕",入力用!C138)</f>
        <v>〔　　　　　　　 　　　　　　　　　　  　　　　〕</v>
      </c>
      <c r="C84" s="44"/>
      <c r="D84" s="293">
        <v>1</v>
      </c>
      <c r="E84" s="294" t="str">
        <f>IF(入力用!F138="✓","✓","□")</f>
        <v>□</v>
      </c>
      <c r="F84" s="353" t="str">
        <f>IF(入力用!C148="","〔　　　　　　　　　　　　　　　　   　　　　〕",入力用!C148)</f>
        <v>〔　　　　　　　　　　　　　　　　   　　　　〕</v>
      </c>
      <c r="G84" s="293">
        <v>1</v>
      </c>
      <c r="H84" s="294" t="str">
        <f>IF(入力用!F148="✓","✓","□")</f>
        <v>□</v>
      </c>
      <c r="I84" s="343"/>
      <c r="J84" s="348"/>
      <c r="K84" s="114"/>
      <c r="M84" s="513" t="str">
        <f>入力用!A10</f>
        <v>留学の時期と期間（希望時期）</v>
      </c>
      <c r="N84" s="514"/>
      <c r="O84" s="521" t="str">
        <f>IF(入力用!C10="","",入力用!C10)</f>
        <v/>
      </c>
      <c r="P84" s="521"/>
      <c r="Q84" s="521"/>
      <c r="R84" s="522"/>
      <c r="S84" s="87"/>
    </row>
    <row r="85" spans="2:19" x14ac:dyDescent="0.15">
      <c r="B85" s="291" t="str">
        <f>IF(入力用!C139="","〔　　　　　　　 　　　　　　　　　　  　　　　〕",入力用!C139)</f>
        <v>〔　　　　　　　 　　　　　　　　　　  　　　　〕</v>
      </c>
      <c r="C85" s="44"/>
      <c r="D85" s="293">
        <v>1</v>
      </c>
      <c r="E85" s="294" t="str">
        <f>IF(入力用!F139="✓","✓","□")</f>
        <v>□</v>
      </c>
      <c r="F85" s="353" t="str">
        <f>IF(入力用!C149="","〔　　　　　　　　　　　　　　　　   　　　　〕",入力用!C149)</f>
        <v>〔　　　　　　　　　　　　　　　　   　　　　〕</v>
      </c>
      <c r="G85" s="293">
        <v>1</v>
      </c>
      <c r="H85" s="294" t="str">
        <f>IF(入力用!F149="✓","✓","□")</f>
        <v>□</v>
      </c>
      <c r="I85" s="343"/>
      <c r="J85" s="348"/>
      <c r="K85" s="114"/>
      <c r="M85" s="513"/>
      <c r="N85" s="514"/>
      <c r="O85" s="521"/>
      <c r="P85" s="521"/>
      <c r="Q85" s="521"/>
      <c r="R85" s="522"/>
      <c r="S85" s="87"/>
    </row>
    <row r="86" spans="2:19" x14ac:dyDescent="0.15">
      <c r="B86" s="291" t="str">
        <f>IF(入力用!C140="","〔　　　　　　　 　　　　　　　　　　  　　　　〕",入力用!C140)</f>
        <v>〔　　　　　　　 　　　　　　　　　　  　　　　〕</v>
      </c>
      <c r="C86" s="44"/>
      <c r="D86" s="293">
        <v>1</v>
      </c>
      <c r="E86" s="294" t="str">
        <f>IF(入力用!F140="✓","✓","□")</f>
        <v>□</v>
      </c>
      <c r="F86" s="353" t="str">
        <f>IF(入力用!C150="","〔　　　　　　　　　　　　　　　　   　　　　〕",入力用!C150)</f>
        <v>〔　　　　　　　　　　　　　　　　   　　　　〕</v>
      </c>
      <c r="G86" s="293">
        <v>1</v>
      </c>
      <c r="H86" s="294" t="str">
        <f>IF(入力用!F150="✓","✓","□")</f>
        <v>□</v>
      </c>
      <c r="I86" s="343"/>
      <c r="J86" s="348"/>
      <c r="K86" s="114"/>
      <c r="M86" s="513" t="str">
        <f>入力用!A11</f>
        <v>「異文化対応２」の履修予定時期（留学終了後で春夏秋冬学期のいずれか）</v>
      </c>
      <c r="N86" s="514"/>
      <c r="O86" s="521" t="str">
        <f>IF(入力用!C11="","",入力用!C11)</f>
        <v/>
      </c>
      <c r="P86" s="521"/>
      <c r="Q86" s="521"/>
      <c r="R86" s="522"/>
      <c r="S86" s="87"/>
    </row>
    <row r="87" spans="2:19" ht="14.25" thickBot="1" x14ac:dyDescent="0.2">
      <c r="B87" s="291" t="str">
        <f>IF(入力用!C141="","〔　　　　　　　 　　　　　　　　　　  　　　　〕",入力用!C141)</f>
        <v>〔　　　　　　　 　　　　　　　　　　  　　　　〕</v>
      </c>
      <c r="C87" s="44"/>
      <c r="D87" s="293">
        <v>1</v>
      </c>
      <c r="E87" s="294" t="str">
        <f>IF(入力用!F141="✓","✓","□")</f>
        <v>□</v>
      </c>
      <c r="F87" s="353" t="str">
        <f>IF(入力用!C151="","〔　　　　　　　　　　　　　　　　   　　　　〕",入力用!C151)</f>
        <v>〔　　　　　　　　　　　　　　　　   　　　　〕</v>
      </c>
      <c r="G87" s="293">
        <v>1</v>
      </c>
      <c r="H87" s="294" t="str">
        <f>IF(入力用!F151="✓","✓","□")</f>
        <v>□</v>
      </c>
      <c r="I87" s="343"/>
      <c r="J87" s="348"/>
      <c r="K87" s="114"/>
      <c r="M87" s="519"/>
      <c r="N87" s="520"/>
      <c r="O87" s="523"/>
      <c r="P87" s="523"/>
      <c r="Q87" s="523"/>
      <c r="R87" s="524"/>
      <c r="S87" s="87"/>
    </row>
    <row r="88" spans="2:19" x14ac:dyDescent="0.15">
      <c r="B88" s="291" t="str">
        <f>IF(入力用!C142="","〔　　　　　　　 　　　　　　　　　　  　　　　〕",入力用!C142)</f>
        <v>〔　　　　　　　 　　　　　　　　　　  　　　　〕</v>
      </c>
      <c r="C88" s="44"/>
      <c r="D88" s="293">
        <v>1</v>
      </c>
      <c r="E88" s="294" t="str">
        <f>IF(入力用!F142="✓","✓","□")</f>
        <v>□</v>
      </c>
      <c r="F88" s="353" t="str">
        <f>IF(入力用!C152="","〔　　　　　　　　　　　　　　　　   　　　　〕",入力用!C152)</f>
        <v>〔　　　　　　　　　　　　　　　　   　　　　〕</v>
      </c>
      <c r="G88" s="293">
        <v>1</v>
      </c>
      <c r="H88" s="294" t="str">
        <f>IF(入力用!F152="✓","✓","□")</f>
        <v>□</v>
      </c>
      <c r="I88" s="343"/>
      <c r="J88" s="348"/>
      <c r="K88" s="114"/>
      <c r="S88" s="87"/>
    </row>
    <row r="89" spans="2:19" x14ac:dyDescent="0.15">
      <c r="B89" s="291" t="str">
        <f>IF(入力用!C143="","〔　　　　　　　 　　　　　　　　　　  　　　　〕",入力用!C143)</f>
        <v>〔　　　　　　　 　　　　　　　　　　  　　　　〕</v>
      </c>
      <c r="C89" s="44"/>
      <c r="D89" s="293">
        <v>1</v>
      </c>
      <c r="E89" s="294" t="str">
        <f>IF(入力用!F143="✓","✓","□")</f>
        <v>□</v>
      </c>
      <c r="F89" s="353" t="str">
        <f>IF(入力用!C153="","〔　　　　　　　　　　　　　　　　   　　　　〕",入力用!C153)</f>
        <v>〔　　　　　　　　　　　　　　　　   　　　　〕</v>
      </c>
      <c r="G89" s="293">
        <v>1</v>
      </c>
      <c r="H89" s="294" t="str">
        <f>IF(入力用!F153="✓","✓","□")</f>
        <v>□</v>
      </c>
      <c r="I89" s="343"/>
      <c r="J89" s="348"/>
      <c r="K89" s="114"/>
      <c r="M89" s="509"/>
      <c r="N89" s="509"/>
      <c r="S89" s="87"/>
    </row>
    <row r="90" spans="2:19" x14ac:dyDescent="0.15">
      <c r="B90" s="291" t="str">
        <f>IF(入力用!C144="","〔　　　　　　　 　　　　　　　　　　  　　　　〕",入力用!C144)</f>
        <v>〔　　　　　　　 　　　　　　　　　　  　　　　〕</v>
      </c>
      <c r="C90" s="44"/>
      <c r="D90" s="293">
        <v>1</v>
      </c>
      <c r="E90" s="294" t="str">
        <f>IF(入力用!F144="✓","✓","□")</f>
        <v>□</v>
      </c>
      <c r="F90" s="353" t="str">
        <f>IF(入力用!C154="","〔　　　　　　　　　　　　　　　　   　　　　〕",入力用!C154)</f>
        <v>〔　　　　　　　　　　　　　　　　   　　　　〕</v>
      </c>
      <c r="G90" s="293">
        <v>1</v>
      </c>
      <c r="H90" s="294" t="str">
        <f>IF(入力用!F154="✓","✓","□")</f>
        <v>□</v>
      </c>
      <c r="I90" s="343"/>
      <c r="J90" s="348"/>
      <c r="K90" s="114"/>
      <c r="M90" s="510"/>
      <c r="N90" s="510"/>
      <c r="S90" s="87"/>
    </row>
    <row r="91" spans="2:19" ht="14.25" thickBot="1" x14ac:dyDescent="0.2">
      <c r="B91" s="302" t="str">
        <f>IF(入力用!C145="","〔　　　　　　　 　　　　　　　　　　  　　　　〕",入力用!C145)</f>
        <v>〔　　　　　　　 　　　　　　　　　　  　　　　〕</v>
      </c>
      <c r="C91" s="354"/>
      <c r="D91" s="304">
        <v>1</v>
      </c>
      <c r="E91" s="305" t="str">
        <f>IF(入力用!F145="✓","✓","□")</f>
        <v>□</v>
      </c>
      <c r="F91" s="355" t="str">
        <f>IF(入力用!C155="","〔　　　　　　　　　　　　　　　　   　　　　〕",入力用!C155)</f>
        <v>〔　　　　　　　　　　　　　　　　   　　　　〕</v>
      </c>
      <c r="G91" s="307">
        <v>1</v>
      </c>
      <c r="H91" s="356" t="str">
        <f>IF(入力用!F155="✓","✓","□")</f>
        <v>□</v>
      </c>
      <c r="I91" s="357" t="s">
        <v>198</v>
      </c>
      <c r="J91" s="358" t="s">
        <v>103</v>
      </c>
      <c r="K91" s="359"/>
      <c r="M91" s="509"/>
      <c r="N91" s="509"/>
      <c r="S91" s="87"/>
    </row>
    <row r="92" spans="2:19" ht="13.5" customHeight="1" x14ac:dyDescent="0.15">
      <c r="B92" s="360" t="s">
        <v>408</v>
      </c>
      <c r="C92" s="361"/>
      <c r="D92" s="137"/>
      <c r="E92" s="137"/>
      <c r="F92" s="286"/>
      <c r="G92" s="286"/>
      <c r="H92" s="362"/>
      <c r="I92" s="363" t="s">
        <v>98</v>
      </c>
      <c r="J92" s="364"/>
      <c r="K92" s="365"/>
      <c r="S92" s="87"/>
    </row>
    <row r="93" spans="2:19" x14ac:dyDescent="0.15">
      <c r="B93" s="368" t="str">
        <f>IF(入力用!C157="","〔　　　　　　　 　　　　　　　　　　  　　　　〕",入力用!C157)</f>
        <v>〔　　　　　　　 　　　　　　　　　　  　　　　〕</v>
      </c>
      <c r="C93" s="369"/>
      <c r="D93" s="336">
        <v>1</v>
      </c>
      <c r="E93" s="337" t="str">
        <f>IF(入力用!F157="✓","✓","□")</f>
        <v>□</v>
      </c>
      <c r="F93" s="338" t="str">
        <f>IF(入力用!C158="","〔　　　　　　　　　　　　　　　　   　　　　〕",入力用!C158)</f>
        <v>〔　　　　　　　　　　　　　　　　   　　　　〕</v>
      </c>
      <c r="G93" s="370">
        <v>1</v>
      </c>
      <c r="H93" s="371" t="str">
        <f>IF(入力用!F158="✓","✓","□")</f>
        <v>□</v>
      </c>
      <c r="I93" s="372"/>
      <c r="J93" s="373" t="s">
        <v>59</v>
      </c>
      <c r="K93" s="374"/>
      <c r="S93" s="87"/>
    </row>
    <row r="94" spans="2:19" x14ac:dyDescent="0.15">
      <c r="N94" s="375"/>
      <c r="O94" s="375"/>
      <c r="P94" s="375"/>
      <c r="S94" s="87"/>
    </row>
    <row r="95" spans="2:19" ht="14.25" thickBot="1" x14ac:dyDescent="0.2">
      <c r="B95" s="95" t="s">
        <v>18</v>
      </c>
      <c r="C95" s="95"/>
      <c r="D95" s="95"/>
      <c r="E95" s="95"/>
      <c r="N95" s="375"/>
      <c r="O95" s="375"/>
      <c r="P95" s="375"/>
      <c r="S95" s="87"/>
    </row>
    <row r="96" spans="2:19" ht="13.5" customHeight="1" x14ac:dyDescent="0.15">
      <c r="B96" s="483" t="s">
        <v>24</v>
      </c>
      <c r="C96" s="483"/>
      <c r="D96" s="284">
        <v>2</v>
      </c>
      <c r="E96" s="285" t="str">
        <f>IF(入力用!F160="✓","✓","□")</f>
        <v>□</v>
      </c>
      <c r="F96" s="139" t="s">
        <v>25</v>
      </c>
      <c r="G96" s="284">
        <v>1</v>
      </c>
      <c r="H96" s="484" t="str">
        <f>IF(入力用!F164="✓","✓","□")</f>
        <v>□</v>
      </c>
      <c r="I96" s="381" t="s">
        <v>40</v>
      </c>
      <c r="J96" s="382"/>
      <c r="K96" s="383"/>
      <c r="S96" s="87"/>
    </row>
    <row r="97" spans="2:19" x14ac:dyDescent="0.15">
      <c r="B97" s="470" t="s">
        <v>25</v>
      </c>
      <c r="C97" s="470"/>
      <c r="D97" s="293">
        <v>1</v>
      </c>
      <c r="E97" s="294" t="str">
        <f>IF(入力用!F161="✓","✓","□")</f>
        <v>□</v>
      </c>
      <c r="F97" s="148" t="s">
        <v>25</v>
      </c>
      <c r="G97" s="293">
        <v>1</v>
      </c>
      <c r="H97" s="485" t="str">
        <f>IF(入力用!F165="✓","✓","□")</f>
        <v>□</v>
      </c>
      <c r="I97" s="387"/>
      <c r="J97" s="388"/>
      <c r="K97" s="389"/>
      <c r="S97" s="87"/>
    </row>
    <row r="98" spans="2:19" x14ac:dyDescent="0.15">
      <c r="B98" s="470" t="s">
        <v>25</v>
      </c>
      <c r="C98" s="470"/>
      <c r="D98" s="293">
        <v>1</v>
      </c>
      <c r="E98" s="294" t="str">
        <f>IF(入力用!F162="✓","✓","□")</f>
        <v>□</v>
      </c>
      <c r="F98" s="148" t="s">
        <v>25</v>
      </c>
      <c r="G98" s="293">
        <v>1</v>
      </c>
      <c r="H98" s="485" t="str">
        <f>IF(入力用!F166="✓","✓","□")</f>
        <v>□</v>
      </c>
      <c r="I98" s="387"/>
      <c r="J98" s="388"/>
      <c r="K98" s="389"/>
      <c r="S98" s="87"/>
    </row>
    <row r="99" spans="2:19" ht="14.25" thickBot="1" x14ac:dyDescent="0.2">
      <c r="B99" s="486" t="s">
        <v>25</v>
      </c>
      <c r="C99" s="486"/>
      <c r="D99" s="304">
        <v>1</v>
      </c>
      <c r="E99" s="305" t="str">
        <f>IF(入力用!F163="✓","✓","□")</f>
        <v>□</v>
      </c>
      <c r="F99" s="487"/>
      <c r="G99" s="488"/>
      <c r="H99" s="489"/>
      <c r="I99" s="396" t="s">
        <v>198</v>
      </c>
      <c r="J99" s="397" t="s">
        <v>60</v>
      </c>
      <c r="K99" s="398"/>
      <c r="S99" s="87"/>
    </row>
    <row r="100" spans="2:19" ht="13.5" customHeight="1" x14ac:dyDescent="0.15">
      <c r="B100" s="399" t="s">
        <v>445</v>
      </c>
      <c r="C100" s="399"/>
      <c r="D100" s="137"/>
      <c r="E100" s="400"/>
      <c r="F100" s="400"/>
      <c r="G100" s="400"/>
      <c r="H100" s="400"/>
      <c r="I100" s="363" t="s">
        <v>97</v>
      </c>
      <c r="J100" s="364"/>
      <c r="K100" s="365"/>
      <c r="S100" s="87"/>
    </row>
    <row r="101" spans="2:19" x14ac:dyDescent="0.15">
      <c r="B101" s="402" t="s">
        <v>200</v>
      </c>
      <c r="C101" s="402"/>
      <c r="D101" s="87"/>
      <c r="E101" s="352"/>
      <c r="F101" s="352"/>
      <c r="G101" s="352"/>
      <c r="H101" s="352"/>
      <c r="I101" s="403"/>
      <c r="J101" s="404"/>
      <c r="K101" s="405"/>
      <c r="S101" s="87"/>
    </row>
    <row r="102" spans="2:19" x14ac:dyDescent="0.15">
      <c r="B102" s="368" t="str">
        <f>IF(入力用!C168="","〔　　　　　　　 　　　　　　　　　　  　　　　〕",入力用!C168)</f>
        <v>〔　　　　　　　 　　　　　　　　　　  　　　　〕</v>
      </c>
      <c r="C102" s="335"/>
      <c r="D102" s="336">
        <v>1</v>
      </c>
      <c r="E102" s="337" t="str">
        <f>IF(入力用!F168="✓","✓","□")</f>
        <v>□</v>
      </c>
      <c r="F102" s="490" t="str">
        <f>IF(入力用!C169="","〔　　　　　　　　　　　　　　　　   　　　　〕",入力用!C169)</f>
        <v>〔　　　　　　　　　　　　　　　　   　　　　〕</v>
      </c>
      <c r="G102" s="491">
        <v>1</v>
      </c>
      <c r="H102" s="492" t="str">
        <f>IF(入力用!F169="✓","✓","□")</f>
        <v>□</v>
      </c>
      <c r="I102" s="372"/>
      <c r="J102" s="409" t="s">
        <v>59</v>
      </c>
      <c r="K102" s="410"/>
      <c r="S102" s="87"/>
    </row>
    <row r="103" spans="2:19" x14ac:dyDescent="0.15">
      <c r="B103" s="87"/>
      <c r="I103" s="375"/>
      <c r="J103" s="375"/>
      <c r="K103" s="375"/>
      <c r="S103" s="87"/>
    </row>
    <row r="104" spans="2:19" ht="14.25" thickBot="1" x14ac:dyDescent="0.2">
      <c r="B104" s="95" t="s">
        <v>19</v>
      </c>
      <c r="C104" s="95"/>
      <c r="D104" s="95"/>
      <c r="E104" s="95"/>
      <c r="I104" s="411"/>
      <c r="J104" s="411"/>
      <c r="K104" s="411"/>
      <c r="S104" s="87"/>
    </row>
    <row r="105" spans="2:19" x14ac:dyDescent="0.15">
      <c r="B105" s="483" t="s">
        <v>10</v>
      </c>
      <c r="C105" s="137"/>
      <c r="D105" s="284">
        <v>1</v>
      </c>
      <c r="E105" s="285" t="str">
        <f>IF(入力用!F171="✓","✓","□")</f>
        <v>□</v>
      </c>
      <c r="F105" s="139" t="s">
        <v>91</v>
      </c>
      <c r="G105" s="284">
        <v>1</v>
      </c>
      <c r="H105" s="484" t="str">
        <f>IF(入力用!F172="✓","✓","□")</f>
        <v>□</v>
      </c>
      <c r="I105" s="412"/>
      <c r="J105" s="413"/>
      <c r="K105" s="383"/>
      <c r="S105" s="87"/>
    </row>
    <row r="106" spans="2:19" ht="14.25" thickBot="1" x14ac:dyDescent="0.2">
      <c r="B106" s="486"/>
      <c r="C106" s="493"/>
      <c r="D106" s="304"/>
      <c r="E106" s="305"/>
      <c r="F106" s="475"/>
      <c r="G106" s="304"/>
      <c r="H106" s="494"/>
      <c r="I106" s="416" t="s">
        <v>198</v>
      </c>
      <c r="J106" s="417" t="s">
        <v>62</v>
      </c>
      <c r="K106" s="398"/>
      <c r="S106" s="87"/>
    </row>
    <row r="107" spans="2:19" ht="13.5" customHeight="1" x14ac:dyDescent="0.15">
      <c r="B107" s="210" t="s">
        <v>408</v>
      </c>
      <c r="C107" s="44"/>
      <c r="D107" s="137"/>
      <c r="E107" s="44"/>
      <c r="F107" s="418"/>
      <c r="G107" s="281"/>
      <c r="H107" s="281"/>
      <c r="I107" s="363" t="s">
        <v>99</v>
      </c>
      <c r="J107" s="364"/>
      <c r="K107" s="365"/>
      <c r="S107" s="87"/>
    </row>
    <row r="108" spans="2:19" x14ac:dyDescent="0.15">
      <c r="B108" s="368" t="str">
        <f>IF(入力用!C174="","〔　　　　　　　 　　　　　　　　　　  　　　　〕",入力用!C174)</f>
        <v>〔　　　　　　　 　　　　　　　　　　  　　　　〕</v>
      </c>
      <c r="C108" s="335"/>
      <c r="D108" s="336">
        <f>IF(入力用!D174="","（　　）",入力用!D174)</f>
        <v>1</v>
      </c>
      <c r="E108" s="337" t="str">
        <f>IF(入力用!F174="✓","✓","□")</f>
        <v>□</v>
      </c>
      <c r="F108" s="338" t="str">
        <f>IF(入力用!C175="","〔　　　　　　　　　　　　　　　　   　　　　〕",入力用!C175)</f>
        <v>〔　　　　　　　　　　　　　　　　   　　　　〕</v>
      </c>
      <c r="G108" s="495">
        <f>IF(入力用!D175="","（　　）",入力用!D175)</f>
        <v>2</v>
      </c>
      <c r="H108" s="496" t="str">
        <f>IF(入力用!F175="✓","✓","□")</f>
        <v>□</v>
      </c>
      <c r="I108" s="372"/>
      <c r="J108" s="409" t="s">
        <v>58</v>
      </c>
      <c r="K108" s="410"/>
      <c r="S108" s="87"/>
    </row>
    <row r="109" spans="2:19" x14ac:dyDescent="0.15">
      <c r="B109" s="87"/>
      <c r="J109" s="421"/>
      <c r="K109" s="421"/>
      <c r="S109" s="87"/>
    </row>
    <row r="110" spans="2:19" ht="14.25" thickBot="1" x14ac:dyDescent="0.2">
      <c r="B110" s="95" t="s">
        <v>29</v>
      </c>
      <c r="C110" s="95"/>
      <c r="D110" s="95"/>
      <c r="E110" s="95"/>
      <c r="F110" s="281"/>
      <c r="G110" s="281"/>
      <c r="H110" s="281"/>
      <c r="I110" s="422"/>
      <c r="J110" s="423"/>
      <c r="K110" s="423"/>
      <c r="S110" s="87"/>
    </row>
    <row r="111" spans="2:19" ht="14.25" customHeight="1" x14ac:dyDescent="0.15">
      <c r="B111" s="483" t="s">
        <v>11</v>
      </c>
      <c r="C111" s="137"/>
      <c r="D111" s="456">
        <v>2</v>
      </c>
      <c r="E111" s="457" t="str">
        <f>IF(入力用!F178="✓","✓","□")</f>
        <v>□</v>
      </c>
      <c r="F111" s="497" t="s">
        <v>92</v>
      </c>
      <c r="G111" s="498">
        <v>2</v>
      </c>
      <c r="H111" s="499" t="str">
        <f>IF(入力用!F180="✓","✓","□")</f>
        <v>□</v>
      </c>
      <c r="I111" s="381"/>
      <c r="J111" s="382"/>
      <c r="K111" s="107"/>
      <c r="S111" s="87"/>
    </row>
    <row r="112" spans="2:19" ht="14.25" thickBot="1" x14ac:dyDescent="0.2">
      <c r="B112" s="486" t="s">
        <v>12</v>
      </c>
      <c r="C112" s="493"/>
      <c r="D112" s="198">
        <v>5</v>
      </c>
      <c r="E112" s="213" t="str">
        <f>IF(入力用!F179="✓","✓","□")</f>
        <v>□</v>
      </c>
      <c r="F112" s="500"/>
      <c r="G112" s="488"/>
      <c r="H112" s="501"/>
      <c r="I112" s="424" t="s">
        <v>198</v>
      </c>
      <c r="J112" s="358" t="s">
        <v>95</v>
      </c>
      <c r="K112" s="359"/>
      <c r="S112" s="87"/>
    </row>
    <row r="113" spans="2:19" ht="13.5" customHeight="1" x14ac:dyDescent="0.15">
      <c r="B113" s="483" t="s">
        <v>30</v>
      </c>
      <c r="C113" s="502"/>
      <c r="D113" s="456">
        <v>2</v>
      </c>
      <c r="E113" s="457" t="str">
        <f>IF(入力用!F182="✓","✓","□")</f>
        <v>□</v>
      </c>
      <c r="F113" s="503" t="s">
        <v>209</v>
      </c>
      <c r="G113" s="504">
        <v>2</v>
      </c>
      <c r="H113" s="499" t="str">
        <f>IF(入力用!F183="✓","✓","□")</f>
        <v>□</v>
      </c>
      <c r="I113" s="381" t="s">
        <v>41</v>
      </c>
      <c r="J113" s="382"/>
      <c r="K113" s="107"/>
      <c r="S113" s="87"/>
    </row>
    <row r="114" spans="2:19" ht="14.25" thickBot="1" x14ac:dyDescent="0.2">
      <c r="B114" s="486"/>
      <c r="C114" s="474"/>
      <c r="D114" s="198"/>
      <c r="E114" s="213"/>
      <c r="F114" s="500"/>
      <c r="G114" s="505"/>
      <c r="H114" s="501"/>
      <c r="I114" s="424" t="s">
        <v>198</v>
      </c>
      <c r="J114" s="358" t="s">
        <v>64</v>
      </c>
      <c r="K114" s="359"/>
      <c r="S114" s="87"/>
    </row>
    <row r="115" spans="2:19" ht="13.5" customHeight="1" x14ac:dyDescent="0.15">
      <c r="B115" s="425" t="s">
        <v>94</v>
      </c>
      <c r="C115" s="426"/>
      <c r="D115" s="361"/>
      <c r="E115" s="352"/>
      <c r="F115" s="352"/>
      <c r="G115" s="352"/>
      <c r="H115" s="352"/>
      <c r="I115" s="427" t="s">
        <v>42</v>
      </c>
      <c r="J115" s="428"/>
      <c r="K115" s="383"/>
      <c r="S115" s="87"/>
    </row>
    <row r="116" spans="2:19" x14ac:dyDescent="0.15">
      <c r="B116" s="470" t="s">
        <v>93</v>
      </c>
      <c r="C116" s="87"/>
      <c r="D116" s="87"/>
      <c r="E116" s="352"/>
      <c r="F116" s="352"/>
      <c r="G116" s="352"/>
      <c r="H116" s="430"/>
      <c r="I116" s="387"/>
      <c r="J116" s="388"/>
      <c r="K116" s="389"/>
      <c r="S116" s="87"/>
    </row>
    <row r="117" spans="2:19" x14ac:dyDescent="0.15">
      <c r="B117" s="291" t="str">
        <f>IF(入力用!C185="","〔　　　　　　　 　　　　　　　　　　  　　　　〕",入力用!C185)</f>
        <v>〔　　　　　　　 　　　　　　　　　　  　　　　〕</v>
      </c>
      <c r="C117" s="44"/>
      <c r="D117" s="293">
        <v>1</v>
      </c>
      <c r="E117" s="294" t="str">
        <f>IF(入力用!F185="✓","✓","□")</f>
        <v>□</v>
      </c>
      <c r="F117" s="353" t="str">
        <f>IF(入力用!C188="","〔　　　　　　　　　　　　　　　　   　　　　〕",入力用!C188)</f>
        <v>〔　　　　　　　　　　　　　　　　   　　　　〕</v>
      </c>
      <c r="G117" s="506">
        <v>1</v>
      </c>
      <c r="H117" s="507" t="str">
        <f>IF(入力用!F188="✓","✓","□")</f>
        <v>□</v>
      </c>
      <c r="I117" s="387"/>
      <c r="J117" s="388"/>
      <c r="K117" s="389"/>
      <c r="S117" s="87"/>
    </row>
    <row r="118" spans="2:19" x14ac:dyDescent="0.15">
      <c r="B118" s="291" t="str">
        <f>IF(入力用!C186="","〔　　　　　　　 　　　　　　　　　　  　　　　〕",入力用!C186)</f>
        <v>〔　　　　　　　 　　　　　　　　　　  　　　　〕</v>
      </c>
      <c r="C118" s="44"/>
      <c r="D118" s="293">
        <v>1</v>
      </c>
      <c r="E118" s="294" t="str">
        <f>IF(入力用!F186="✓","✓","□")</f>
        <v>□</v>
      </c>
      <c r="F118" s="353" t="str">
        <f>IF(入力用!C189="","〔　　　　　　　　　　　　　　　　   　　　　〕",入力用!C189)</f>
        <v>〔　　　　　　　　　　　　　　　　   　　　　〕</v>
      </c>
      <c r="G118" s="506">
        <v>1</v>
      </c>
      <c r="H118" s="507" t="str">
        <f>IF(入力用!F189="✓","✓","□")</f>
        <v>□</v>
      </c>
      <c r="I118" s="387"/>
      <c r="J118" s="388"/>
      <c r="K118" s="389"/>
      <c r="S118" s="87"/>
    </row>
    <row r="119" spans="2:19" ht="14.25" thickBot="1" x14ac:dyDescent="0.2">
      <c r="B119" s="302" t="str">
        <f>IF(入力用!C187="","〔　　　　　　　 　　　　　　　　　　  　　　　〕",入力用!C187)</f>
        <v>〔　　　　　　　 　　　　　　　　　　  　　　　〕</v>
      </c>
      <c r="C119" s="354"/>
      <c r="D119" s="304">
        <v>1</v>
      </c>
      <c r="E119" s="305" t="str">
        <f>IF(入力用!F187="✓","✓","□")</f>
        <v>□</v>
      </c>
      <c r="F119" s="355" t="str">
        <f>IF(入力用!C190="","〔　　　　　　　　　　　　　　　　   　　　　〕",入力用!C190)</f>
        <v>〔　　　　　　　　　　　　　　　　   　　　　〕</v>
      </c>
      <c r="G119" s="307">
        <v>1</v>
      </c>
      <c r="H119" s="508" t="str">
        <f>IF(入力用!F190="✓","✓","□")</f>
        <v>□</v>
      </c>
      <c r="I119" s="396" t="s">
        <v>198</v>
      </c>
      <c r="J119" s="358" t="s">
        <v>96</v>
      </c>
      <c r="K119" s="398"/>
      <c r="S119" s="87"/>
    </row>
    <row r="120" spans="2:19" ht="13.5" customHeight="1" x14ac:dyDescent="0.15">
      <c r="B120" s="360" t="s">
        <v>408</v>
      </c>
      <c r="C120" s="361"/>
      <c r="D120" s="137"/>
      <c r="E120" s="137"/>
      <c r="F120" s="431"/>
      <c r="G120" s="431"/>
      <c r="H120" s="432"/>
      <c r="I120" s="433" t="s">
        <v>100</v>
      </c>
      <c r="J120" s="364"/>
      <c r="K120" s="365"/>
      <c r="S120" s="87"/>
    </row>
    <row r="121" spans="2:19" x14ac:dyDescent="0.15">
      <c r="B121" s="368" t="str">
        <f>IF(入力用!C192="","〔　　　　　　　 　　　　　　　　　　  　　　　〕",入力用!C192)</f>
        <v>〔　　　　　　　 　　　　　　　　　　  　　　　〕</v>
      </c>
      <c r="C121" s="369"/>
      <c r="D121" s="336">
        <v>1</v>
      </c>
      <c r="E121" s="337" t="str">
        <f>IF(入力用!F192="✓","✓","□")</f>
        <v>□</v>
      </c>
      <c r="F121" s="338" t="str">
        <f>IF(入力用!C193="","〔　　　　　　　　　　　　　　　　   　　　　〕",入力用!C193)</f>
        <v>〔　　　　　　　　　　　　　　　　   　　　　〕</v>
      </c>
      <c r="G121" s="370">
        <v>1</v>
      </c>
      <c r="H121" s="371" t="str">
        <f>IF(入力用!F193="✓","✓","□")</f>
        <v>□</v>
      </c>
      <c r="I121" s="437"/>
      <c r="J121" s="438" t="s">
        <v>58</v>
      </c>
      <c r="K121" s="410"/>
      <c r="S121" s="87"/>
    </row>
  </sheetData>
  <mergeCells count="74">
    <mergeCell ref="M74:N75"/>
    <mergeCell ref="O74:P75"/>
    <mergeCell ref="O76:P77"/>
    <mergeCell ref="M76:N77"/>
    <mergeCell ref="Q74:R75"/>
    <mergeCell ref="Q76:R77"/>
    <mergeCell ref="Q35:R35"/>
    <mergeCell ref="Q36:R36"/>
    <mergeCell ref="O32:P32"/>
    <mergeCell ref="O36:P36"/>
    <mergeCell ref="Q32:R32"/>
    <mergeCell ref="O33:P33"/>
    <mergeCell ref="Q33:R33"/>
    <mergeCell ref="O34:P34"/>
    <mergeCell ref="Q34:R34"/>
    <mergeCell ref="Q18:R18"/>
    <mergeCell ref="O30:P30"/>
    <mergeCell ref="Q30:R30"/>
    <mergeCell ref="O31:P31"/>
    <mergeCell ref="Q31:R31"/>
    <mergeCell ref="O22:P22"/>
    <mergeCell ref="O23:P23"/>
    <mergeCell ref="O24:P24"/>
    <mergeCell ref="Q19:R19"/>
    <mergeCell ref="Q20:R20"/>
    <mergeCell ref="Q21:R21"/>
    <mergeCell ref="Q22:R22"/>
    <mergeCell ref="Q23:R23"/>
    <mergeCell ref="Q24:R24"/>
    <mergeCell ref="O10:P10"/>
    <mergeCell ref="O11:P11"/>
    <mergeCell ref="Q5:R5"/>
    <mergeCell ref="Q6:R6"/>
    <mergeCell ref="Q7:R7"/>
    <mergeCell ref="Q8:R8"/>
    <mergeCell ref="Q9:R9"/>
    <mergeCell ref="Q10:R10"/>
    <mergeCell ref="Q11:R11"/>
    <mergeCell ref="O5:P5"/>
    <mergeCell ref="O6:P6"/>
    <mergeCell ref="O7:P7"/>
    <mergeCell ref="O8:P8"/>
    <mergeCell ref="O9:P9"/>
    <mergeCell ref="B12:B14"/>
    <mergeCell ref="B15:B18"/>
    <mergeCell ref="B25:H25"/>
    <mergeCell ref="I25:J25"/>
    <mergeCell ref="B33:H33"/>
    <mergeCell ref="I33:J33"/>
    <mergeCell ref="I40:J40"/>
    <mergeCell ref="O16:P16"/>
    <mergeCell ref="O17:P17"/>
    <mergeCell ref="O19:P19"/>
    <mergeCell ref="O20:P20"/>
    <mergeCell ref="O18:P18"/>
    <mergeCell ref="O21:P21"/>
    <mergeCell ref="O35:P35"/>
    <mergeCell ref="M66:N67"/>
    <mergeCell ref="M70:N71"/>
    <mergeCell ref="P66:P67"/>
    <mergeCell ref="Q66:Q67"/>
    <mergeCell ref="R66:R67"/>
    <mergeCell ref="P70:P71"/>
    <mergeCell ref="Q70:Q71"/>
    <mergeCell ref="R70:R71"/>
    <mergeCell ref="M89:N89"/>
    <mergeCell ref="M90:N90"/>
    <mergeCell ref="M91:N91"/>
    <mergeCell ref="M82:N83"/>
    <mergeCell ref="O82:R83"/>
    <mergeCell ref="M86:N87"/>
    <mergeCell ref="O86:R87"/>
    <mergeCell ref="M84:N85"/>
    <mergeCell ref="O84:R85"/>
  </mergeCells>
  <phoneticPr fontId="1"/>
  <pageMargins left="0.11811023622047245" right="0" top="0.27559055118110237" bottom="0" header="0.11811023622047245" footer="0"/>
  <pageSetup paperSize="9" scale="72" orientation="landscape" r:id="rId1"/>
  <headerFooter>
    <oddFooter>&amp;R&amp;P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93"/>
  <sheetViews>
    <sheetView view="pageBreakPreview" zoomScale="80" zoomScaleNormal="100" zoomScaleSheetLayoutView="80" workbookViewId="0">
      <selection activeCell="F15" sqref="F15"/>
    </sheetView>
  </sheetViews>
  <sheetFormatPr defaultRowHeight="13.5" x14ac:dyDescent="0.15"/>
  <cols>
    <col min="1" max="1" width="4.25" customWidth="1"/>
    <col min="2" max="2" width="17.625" customWidth="1"/>
    <col min="3" max="3" width="32.625" customWidth="1"/>
    <col min="4" max="5" width="7.125" bestFit="1" customWidth="1"/>
    <col min="6" max="8" width="10.625" customWidth="1"/>
  </cols>
  <sheetData>
    <row r="1" spans="1:8" x14ac:dyDescent="0.15">
      <c r="B1" s="15"/>
      <c r="C1" s="6" t="s">
        <v>196</v>
      </c>
    </row>
    <row r="3" spans="1:8" x14ac:dyDescent="0.15">
      <c r="A3" s="584" t="s">
        <v>160</v>
      </c>
      <c r="B3" s="585"/>
      <c r="C3" s="30"/>
    </row>
    <row r="4" spans="1:8" x14ac:dyDescent="0.15">
      <c r="A4" s="584" t="s">
        <v>161</v>
      </c>
      <c r="B4" s="585"/>
      <c r="C4" s="30"/>
    </row>
    <row r="5" spans="1:8" x14ac:dyDescent="0.15">
      <c r="A5" s="584" t="s">
        <v>162</v>
      </c>
      <c r="B5" s="585"/>
      <c r="C5" s="32"/>
    </row>
    <row r="6" spans="1:8" x14ac:dyDescent="0.15">
      <c r="A6" s="10"/>
      <c r="B6" s="10"/>
      <c r="C6" s="29"/>
    </row>
    <row r="7" spans="1:8" ht="26.25" customHeight="1" x14ac:dyDescent="0.15">
      <c r="A7" s="583" t="s">
        <v>206</v>
      </c>
      <c r="B7" s="583"/>
      <c r="C7" s="30"/>
    </row>
    <row r="8" spans="1:8" ht="42" customHeight="1" x14ac:dyDescent="0.15">
      <c r="A8" s="583" t="s">
        <v>205</v>
      </c>
      <c r="B8" s="583"/>
      <c r="C8" s="30"/>
    </row>
    <row r="9" spans="1:8" ht="39.75" customHeight="1" x14ac:dyDescent="0.15">
      <c r="A9" s="583" t="s">
        <v>207</v>
      </c>
      <c r="B9" s="583"/>
      <c r="C9" s="30"/>
      <c r="E9" s="8"/>
    </row>
    <row r="10" spans="1:8" ht="32.25" customHeight="1" x14ac:dyDescent="0.15">
      <c r="A10" s="583" t="s">
        <v>215</v>
      </c>
      <c r="B10" s="583"/>
      <c r="C10" s="30"/>
      <c r="D10" s="7" t="s">
        <v>216</v>
      </c>
      <c r="E10" s="8"/>
    </row>
    <row r="11" spans="1:8" ht="45" customHeight="1" x14ac:dyDescent="0.15">
      <c r="A11" s="583" t="s">
        <v>217</v>
      </c>
      <c r="B11" s="583"/>
      <c r="C11" s="30"/>
      <c r="D11" s="7" t="s">
        <v>204</v>
      </c>
      <c r="E11" s="8"/>
    </row>
    <row r="12" spans="1:8" x14ac:dyDescent="0.15">
      <c r="C12" s="9"/>
      <c r="E12" s="8"/>
    </row>
    <row r="13" spans="1:8" ht="17.25" x14ac:dyDescent="0.2">
      <c r="A13" s="2" t="s">
        <v>163</v>
      </c>
      <c r="C13" s="9"/>
    </row>
    <row r="14" spans="1:8" x14ac:dyDescent="0.15">
      <c r="A14" s="3" t="s">
        <v>158</v>
      </c>
      <c r="C14" s="9"/>
      <c r="E14" s="8"/>
    </row>
    <row r="15" spans="1:8" ht="27" x14ac:dyDescent="0.15">
      <c r="A15" s="12" t="s">
        <v>152</v>
      </c>
      <c r="B15" s="5" t="s">
        <v>132</v>
      </c>
      <c r="C15" s="5" t="s">
        <v>133</v>
      </c>
      <c r="D15" s="5" t="s">
        <v>129</v>
      </c>
      <c r="E15" s="13" t="s">
        <v>157</v>
      </c>
      <c r="F15" s="14" t="s">
        <v>144</v>
      </c>
      <c r="G15" s="14" t="s">
        <v>150</v>
      </c>
      <c r="H15" s="14" t="s">
        <v>151</v>
      </c>
    </row>
    <row r="16" spans="1:8" x14ac:dyDescent="0.15">
      <c r="A16" s="11" t="s">
        <v>107</v>
      </c>
      <c r="B16" s="11"/>
      <c r="C16" s="11" t="s">
        <v>107</v>
      </c>
      <c r="D16" s="11">
        <v>1</v>
      </c>
      <c r="E16" s="11">
        <v>1</v>
      </c>
      <c r="F16" s="15"/>
      <c r="G16" s="11"/>
      <c r="H16" s="11"/>
    </row>
    <row r="17" spans="1:8" x14ac:dyDescent="0.15">
      <c r="A17" s="11" t="s">
        <v>108</v>
      </c>
      <c r="B17" s="11"/>
      <c r="C17" s="11" t="s">
        <v>108</v>
      </c>
      <c r="D17" s="11">
        <v>2.5</v>
      </c>
      <c r="E17" s="11">
        <v>2.5</v>
      </c>
      <c r="F17" s="15"/>
      <c r="G17" s="11"/>
      <c r="H17" s="11"/>
    </row>
    <row r="18" spans="1:8" x14ac:dyDescent="0.15">
      <c r="A18" s="11" t="s">
        <v>109</v>
      </c>
      <c r="B18" s="11"/>
      <c r="C18" s="11"/>
      <c r="D18" s="11"/>
      <c r="E18" s="11">
        <v>8</v>
      </c>
      <c r="F18" s="11"/>
      <c r="G18" s="11"/>
      <c r="H18" s="11"/>
    </row>
    <row r="19" spans="1:8" x14ac:dyDescent="0.15">
      <c r="A19" s="11"/>
      <c r="B19" s="11">
        <v>1</v>
      </c>
      <c r="C19" s="15"/>
      <c r="D19" s="15"/>
      <c r="E19" s="11"/>
      <c r="F19" s="15"/>
      <c r="G19" s="11"/>
      <c r="H19" s="11"/>
    </row>
    <row r="20" spans="1:8" x14ac:dyDescent="0.15">
      <c r="A20" s="11"/>
      <c r="B20" s="11">
        <v>2</v>
      </c>
      <c r="C20" s="15"/>
      <c r="D20" s="15"/>
      <c r="E20" s="11"/>
      <c r="F20" s="15"/>
      <c r="G20" s="11"/>
      <c r="H20" s="11"/>
    </row>
    <row r="21" spans="1:8" x14ac:dyDescent="0.15">
      <c r="A21" s="11"/>
      <c r="B21" s="11">
        <v>3</v>
      </c>
      <c r="C21" s="15"/>
      <c r="D21" s="15"/>
      <c r="E21" s="11"/>
      <c r="F21" s="15"/>
      <c r="G21" s="11"/>
      <c r="H21" s="11"/>
    </row>
    <row r="22" spans="1:8" x14ac:dyDescent="0.15">
      <c r="A22" s="11"/>
      <c r="B22" s="11">
        <v>4</v>
      </c>
      <c r="C22" s="15"/>
      <c r="D22" s="15"/>
      <c r="E22" s="11"/>
      <c r="F22" s="15"/>
      <c r="G22" s="11"/>
      <c r="H22" s="11"/>
    </row>
    <row r="23" spans="1:8" x14ac:dyDescent="0.15">
      <c r="A23" s="11"/>
      <c r="B23" s="11">
        <v>5</v>
      </c>
      <c r="C23" s="15"/>
      <c r="D23" s="15"/>
      <c r="E23" s="11"/>
      <c r="F23" s="15"/>
      <c r="G23" s="11"/>
      <c r="H23" s="11"/>
    </row>
    <row r="24" spans="1:8" x14ac:dyDescent="0.15">
      <c r="A24" s="11"/>
      <c r="B24" s="11">
        <v>6</v>
      </c>
      <c r="C24" s="15"/>
      <c r="D24" s="15"/>
      <c r="E24" s="11"/>
      <c r="F24" s="15"/>
      <c r="G24" s="11"/>
      <c r="H24" s="11"/>
    </row>
    <row r="25" spans="1:8" x14ac:dyDescent="0.15">
      <c r="A25" s="11" t="s">
        <v>110</v>
      </c>
      <c r="B25" s="11"/>
      <c r="C25" s="11"/>
      <c r="D25" s="11"/>
      <c r="E25" s="11">
        <v>8</v>
      </c>
      <c r="F25" s="11"/>
      <c r="G25" s="11"/>
      <c r="H25" s="11"/>
    </row>
    <row r="26" spans="1:8" x14ac:dyDescent="0.15">
      <c r="A26" s="11"/>
      <c r="B26" s="11">
        <v>1</v>
      </c>
      <c r="C26" s="11" t="s">
        <v>130</v>
      </c>
      <c r="D26" s="11">
        <v>2</v>
      </c>
      <c r="E26" s="11">
        <v>2</v>
      </c>
      <c r="F26" s="15"/>
      <c r="G26" s="11"/>
      <c r="H26" s="11"/>
    </row>
    <row r="27" spans="1:8" x14ac:dyDescent="0.15">
      <c r="A27" s="11"/>
      <c r="B27" s="11">
        <v>2</v>
      </c>
      <c r="C27" s="11" t="s">
        <v>131</v>
      </c>
      <c r="D27" s="11">
        <v>1</v>
      </c>
      <c r="E27" s="11">
        <v>1</v>
      </c>
      <c r="F27" s="15"/>
      <c r="G27" s="11"/>
      <c r="H27" s="11"/>
    </row>
    <row r="28" spans="1:8" x14ac:dyDescent="0.15">
      <c r="A28" s="11"/>
      <c r="B28" s="11">
        <v>3</v>
      </c>
      <c r="C28" s="15"/>
      <c r="D28" s="15"/>
      <c r="E28" s="11"/>
      <c r="F28" s="15"/>
      <c r="G28" s="11"/>
      <c r="H28" s="11"/>
    </row>
    <row r="29" spans="1:8" x14ac:dyDescent="0.15">
      <c r="A29" s="11"/>
      <c r="B29" s="11">
        <v>4</v>
      </c>
      <c r="C29" s="15"/>
      <c r="D29" s="15"/>
      <c r="E29" s="11"/>
      <c r="F29" s="15"/>
      <c r="G29" s="11"/>
      <c r="H29" s="11"/>
    </row>
    <row r="30" spans="1:8" x14ac:dyDescent="0.15">
      <c r="A30" s="11"/>
      <c r="B30" s="11">
        <v>5</v>
      </c>
      <c r="C30" s="15"/>
      <c r="D30" s="15"/>
      <c r="E30" s="11"/>
      <c r="F30" s="15"/>
      <c r="G30" s="11"/>
      <c r="H30" s="11"/>
    </row>
    <row r="31" spans="1:8" x14ac:dyDescent="0.15">
      <c r="A31" s="11"/>
      <c r="B31" s="11">
        <v>6</v>
      </c>
      <c r="C31" s="15"/>
      <c r="D31" s="15"/>
      <c r="E31" s="11"/>
      <c r="F31" s="15"/>
      <c r="G31" s="11"/>
      <c r="H31" s="11"/>
    </row>
    <row r="32" spans="1:8" x14ac:dyDescent="0.15">
      <c r="A32" s="11"/>
      <c r="B32" s="11">
        <v>7</v>
      </c>
      <c r="C32" s="15"/>
      <c r="D32" s="15"/>
      <c r="E32" s="11"/>
      <c r="F32" s="15"/>
      <c r="G32" s="11"/>
      <c r="H32" s="11"/>
    </row>
    <row r="33" spans="1:8" x14ac:dyDescent="0.15">
      <c r="A33" s="11"/>
      <c r="B33" s="11" t="s">
        <v>176</v>
      </c>
      <c r="C33" s="11"/>
      <c r="D33" s="11"/>
      <c r="E33" s="11"/>
      <c r="F33" s="11"/>
      <c r="G33" s="11" t="s">
        <v>175</v>
      </c>
      <c r="H33" s="11"/>
    </row>
    <row r="34" spans="1:8" x14ac:dyDescent="0.15">
      <c r="A34" s="11"/>
      <c r="B34" s="11">
        <v>1</v>
      </c>
      <c r="C34" s="15"/>
      <c r="D34" s="15"/>
      <c r="E34" s="11"/>
      <c r="F34" s="15"/>
      <c r="G34" s="16"/>
      <c r="H34" s="11"/>
    </row>
    <row r="35" spans="1:8" x14ac:dyDescent="0.15">
      <c r="A35" s="11"/>
      <c r="B35" s="11">
        <v>2</v>
      </c>
      <c r="C35" s="15"/>
      <c r="D35" s="15"/>
      <c r="E35" s="11"/>
      <c r="F35" s="15"/>
      <c r="G35" s="16"/>
      <c r="H35" s="11"/>
    </row>
    <row r="36" spans="1:8" x14ac:dyDescent="0.15">
      <c r="A36" s="11"/>
      <c r="B36" s="11">
        <v>3</v>
      </c>
      <c r="C36" s="15"/>
      <c r="D36" s="15"/>
      <c r="E36" s="11"/>
      <c r="F36" s="15"/>
      <c r="G36" s="16"/>
      <c r="H36" s="11"/>
    </row>
    <row r="37" spans="1:8" x14ac:dyDescent="0.15">
      <c r="A37" s="11"/>
      <c r="B37" s="11">
        <v>4</v>
      </c>
      <c r="C37" s="15"/>
      <c r="D37" s="15"/>
      <c r="E37" s="11"/>
      <c r="F37" s="15"/>
      <c r="G37" s="16"/>
      <c r="H37" s="11"/>
    </row>
    <row r="38" spans="1:8" x14ac:dyDescent="0.15">
      <c r="A38" s="11"/>
      <c r="B38" s="11">
        <v>5</v>
      </c>
      <c r="C38" s="15"/>
      <c r="D38" s="15"/>
      <c r="E38" s="11"/>
      <c r="F38" s="15"/>
      <c r="G38" s="16"/>
      <c r="H38" s="11"/>
    </row>
    <row r="39" spans="1:8" x14ac:dyDescent="0.15">
      <c r="A39" s="11"/>
      <c r="B39" s="11">
        <v>6</v>
      </c>
      <c r="C39" s="15"/>
      <c r="D39" s="15"/>
      <c r="E39" s="11"/>
      <c r="F39" s="15"/>
      <c r="G39" s="16"/>
      <c r="H39" s="11"/>
    </row>
    <row r="40" spans="1:8" x14ac:dyDescent="0.15">
      <c r="A40" s="11" t="s">
        <v>134</v>
      </c>
      <c r="B40" s="11"/>
      <c r="C40" s="11"/>
      <c r="D40" s="11"/>
      <c r="E40" s="11"/>
      <c r="F40" s="11"/>
      <c r="G40" s="11"/>
      <c r="H40" s="11"/>
    </row>
    <row r="41" spans="1:8" x14ac:dyDescent="0.15">
      <c r="A41" s="11"/>
      <c r="B41" s="11" t="s">
        <v>195</v>
      </c>
      <c r="C41" s="11"/>
      <c r="D41" s="11"/>
      <c r="E41" s="11">
        <v>10</v>
      </c>
      <c r="F41" s="11"/>
      <c r="G41" s="11"/>
      <c r="H41" s="11"/>
    </row>
    <row r="42" spans="1:8" x14ac:dyDescent="0.15">
      <c r="A42" s="11"/>
      <c r="B42" s="11"/>
      <c r="C42" s="11" t="s">
        <v>135</v>
      </c>
      <c r="D42" s="11">
        <v>1</v>
      </c>
      <c r="E42" s="11">
        <v>1</v>
      </c>
      <c r="F42" s="15"/>
      <c r="G42" s="11"/>
      <c r="H42" s="11"/>
    </row>
    <row r="43" spans="1:8" x14ac:dyDescent="0.15">
      <c r="A43" s="11"/>
      <c r="B43" s="11"/>
      <c r="C43" s="11" t="s">
        <v>136</v>
      </c>
      <c r="D43" s="11">
        <v>1</v>
      </c>
      <c r="E43" s="11">
        <v>1</v>
      </c>
      <c r="F43" s="15"/>
      <c r="G43" s="11"/>
      <c r="H43" s="11"/>
    </row>
    <row r="44" spans="1:8" x14ac:dyDescent="0.15">
      <c r="A44" s="11"/>
      <c r="B44" s="11"/>
      <c r="C44" s="11" t="s">
        <v>137</v>
      </c>
      <c r="D44" s="11">
        <v>1</v>
      </c>
      <c r="E44" s="11">
        <v>1</v>
      </c>
      <c r="F44" s="15"/>
      <c r="G44" s="11"/>
      <c r="H44" s="11"/>
    </row>
    <row r="45" spans="1:8" x14ac:dyDescent="0.15">
      <c r="A45" s="11"/>
      <c r="B45" s="11"/>
      <c r="C45" s="11" t="s">
        <v>138</v>
      </c>
      <c r="D45" s="11">
        <v>1</v>
      </c>
      <c r="E45" s="11">
        <v>1</v>
      </c>
      <c r="F45" s="15"/>
      <c r="G45" s="11"/>
      <c r="H45" s="11"/>
    </row>
    <row r="46" spans="1:8" x14ac:dyDescent="0.15">
      <c r="A46" s="11"/>
      <c r="B46" s="11"/>
      <c r="C46" s="11" t="s">
        <v>139</v>
      </c>
      <c r="D46" s="11">
        <v>1</v>
      </c>
      <c r="E46" s="11">
        <v>1</v>
      </c>
      <c r="F46" s="15"/>
      <c r="G46" s="11"/>
      <c r="H46" s="11"/>
    </row>
    <row r="47" spans="1:8" x14ac:dyDescent="0.15">
      <c r="A47" s="11"/>
      <c r="B47" s="11"/>
      <c r="C47" s="11" t="s">
        <v>140</v>
      </c>
      <c r="D47" s="11">
        <v>1</v>
      </c>
      <c r="E47" s="11">
        <v>1</v>
      </c>
      <c r="F47" s="15"/>
      <c r="G47" s="11"/>
      <c r="H47" s="11"/>
    </row>
    <row r="48" spans="1:8" x14ac:dyDescent="0.15">
      <c r="A48" s="11"/>
      <c r="B48" s="11"/>
      <c r="C48" s="11" t="s">
        <v>141</v>
      </c>
      <c r="D48" s="11">
        <v>1</v>
      </c>
      <c r="E48" s="11">
        <v>1</v>
      </c>
      <c r="F48" s="15"/>
      <c r="G48" s="11"/>
      <c r="H48" s="11"/>
    </row>
    <row r="49" spans="1:8" x14ac:dyDescent="0.15">
      <c r="A49" s="11"/>
      <c r="B49" s="11"/>
      <c r="C49" s="11" t="s">
        <v>208</v>
      </c>
      <c r="D49" s="11">
        <v>1</v>
      </c>
      <c r="E49" s="11">
        <v>1</v>
      </c>
      <c r="F49" s="15"/>
      <c r="G49" s="11"/>
      <c r="H49" s="11"/>
    </row>
    <row r="50" spans="1:8" x14ac:dyDescent="0.15">
      <c r="A50" s="11"/>
      <c r="B50" s="11"/>
      <c r="C50" s="11" t="s">
        <v>142</v>
      </c>
      <c r="D50" s="11">
        <v>1</v>
      </c>
      <c r="E50" s="11">
        <v>1</v>
      </c>
      <c r="F50" s="15"/>
      <c r="G50" s="11"/>
      <c r="H50" s="11"/>
    </row>
    <row r="51" spans="1:8" x14ac:dyDescent="0.15">
      <c r="A51" s="11"/>
      <c r="B51" s="11"/>
      <c r="C51" s="11" t="s">
        <v>143</v>
      </c>
      <c r="D51" s="11">
        <v>1</v>
      </c>
      <c r="E51" s="11">
        <v>1</v>
      </c>
      <c r="F51" s="15"/>
      <c r="G51" s="11"/>
      <c r="H51" s="11"/>
    </row>
    <row r="52" spans="1:8" x14ac:dyDescent="0.15">
      <c r="A52" s="11"/>
      <c r="B52" s="11" t="s">
        <v>145</v>
      </c>
      <c r="C52" s="11"/>
      <c r="D52" s="11"/>
      <c r="E52" s="11">
        <v>2</v>
      </c>
      <c r="F52" s="11"/>
      <c r="G52" s="11"/>
      <c r="H52" s="11"/>
    </row>
    <row r="53" spans="1:8" x14ac:dyDescent="0.15">
      <c r="A53" s="11"/>
      <c r="B53" s="11">
        <v>1</v>
      </c>
      <c r="C53" s="15"/>
      <c r="D53" s="15"/>
      <c r="E53" s="11"/>
      <c r="F53" s="15"/>
      <c r="G53" s="11"/>
      <c r="H53" s="11"/>
    </row>
    <row r="54" spans="1:8" x14ac:dyDescent="0.15">
      <c r="A54" s="11"/>
      <c r="B54" s="11">
        <v>2</v>
      </c>
      <c r="C54" s="15"/>
      <c r="D54" s="15"/>
      <c r="E54" s="11"/>
      <c r="F54" s="15"/>
      <c r="G54" s="11"/>
      <c r="H54" s="11"/>
    </row>
    <row r="55" spans="1:8" x14ac:dyDescent="0.15">
      <c r="A55" s="11"/>
      <c r="B55" s="11" t="s">
        <v>194</v>
      </c>
      <c r="C55" s="11"/>
      <c r="D55" s="11"/>
      <c r="E55" s="11">
        <v>12</v>
      </c>
      <c r="F55" s="11"/>
      <c r="G55" s="11"/>
      <c r="H55" s="11"/>
    </row>
    <row r="56" spans="1:8" x14ac:dyDescent="0.15">
      <c r="A56" s="11"/>
      <c r="B56" s="11">
        <v>1</v>
      </c>
      <c r="C56" s="15"/>
      <c r="D56" s="15"/>
      <c r="E56" s="11"/>
      <c r="F56" s="15"/>
      <c r="G56" s="11"/>
      <c r="H56" s="11"/>
    </row>
    <row r="57" spans="1:8" x14ac:dyDescent="0.15">
      <c r="A57" s="11"/>
      <c r="B57" s="11">
        <v>2</v>
      </c>
      <c r="C57" s="15"/>
      <c r="D57" s="15"/>
      <c r="E57" s="11"/>
      <c r="F57" s="15"/>
      <c r="G57" s="11"/>
      <c r="H57" s="11"/>
    </row>
    <row r="58" spans="1:8" x14ac:dyDescent="0.15">
      <c r="A58" s="11"/>
      <c r="B58" s="11">
        <v>3</v>
      </c>
      <c r="C58" s="15"/>
      <c r="D58" s="15"/>
      <c r="E58" s="11"/>
      <c r="F58" s="15"/>
      <c r="G58" s="11"/>
      <c r="H58" s="11"/>
    </row>
    <row r="59" spans="1:8" x14ac:dyDescent="0.15">
      <c r="A59" s="11"/>
      <c r="B59" s="11">
        <v>4</v>
      </c>
      <c r="C59" s="15"/>
      <c r="D59" s="15"/>
      <c r="E59" s="11"/>
      <c r="F59" s="15"/>
      <c r="G59" s="11"/>
      <c r="H59" s="11"/>
    </row>
    <row r="60" spans="1:8" x14ac:dyDescent="0.15">
      <c r="A60" s="11"/>
      <c r="B60" s="11">
        <v>5</v>
      </c>
      <c r="C60" s="15"/>
      <c r="D60" s="15"/>
      <c r="E60" s="11"/>
      <c r="F60" s="15"/>
      <c r="G60" s="11"/>
      <c r="H60" s="11"/>
    </row>
    <row r="61" spans="1:8" x14ac:dyDescent="0.15">
      <c r="A61" s="11"/>
      <c r="B61" s="11">
        <v>6</v>
      </c>
      <c r="C61" s="15"/>
      <c r="D61" s="15"/>
      <c r="E61" s="11"/>
      <c r="F61" s="15"/>
      <c r="G61" s="11"/>
      <c r="H61" s="11"/>
    </row>
    <row r="62" spans="1:8" x14ac:dyDescent="0.15">
      <c r="A62" s="11"/>
      <c r="B62" s="11">
        <v>7</v>
      </c>
      <c r="C62" s="15"/>
      <c r="D62" s="15"/>
      <c r="E62" s="11"/>
      <c r="F62" s="15"/>
      <c r="G62" s="11"/>
      <c r="H62" s="11"/>
    </row>
    <row r="63" spans="1:8" x14ac:dyDescent="0.15">
      <c r="A63" s="11"/>
      <c r="B63" s="11">
        <v>8</v>
      </c>
      <c r="C63" s="15"/>
      <c r="D63" s="15"/>
      <c r="E63" s="11"/>
      <c r="F63" s="15"/>
      <c r="G63" s="11"/>
      <c r="H63" s="11"/>
    </row>
    <row r="64" spans="1:8" x14ac:dyDescent="0.15">
      <c r="A64" s="11"/>
      <c r="B64" s="11">
        <v>9</v>
      </c>
      <c r="C64" s="15"/>
      <c r="D64" s="15"/>
      <c r="E64" s="11"/>
      <c r="F64" s="15"/>
      <c r="G64" s="11"/>
      <c r="H64" s="11"/>
    </row>
    <row r="65" spans="1:8" x14ac:dyDescent="0.15">
      <c r="A65" s="11"/>
      <c r="B65" s="11">
        <v>10</v>
      </c>
      <c r="C65" s="15"/>
      <c r="D65" s="15"/>
      <c r="E65" s="11"/>
      <c r="F65" s="15"/>
      <c r="G65" s="11"/>
      <c r="H65" s="11"/>
    </row>
    <row r="66" spans="1:8" x14ac:dyDescent="0.15">
      <c r="A66" s="11"/>
      <c r="B66" s="11">
        <v>11</v>
      </c>
      <c r="C66" s="15"/>
      <c r="D66" s="15"/>
      <c r="E66" s="11"/>
      <c r="F66" s="15"/>
      <c r="G66" s="11"/>
      <c r="H66" s="11"/>
    </row>
    <row r="67" spans="1:8" x14ac:dyDescent="0.15">
      <c r="A67" s="11"/>
      <c r="B67" s="11">
        <v>12</v>
      </c>
      <c r="C67" s="15"/>
      <c r="D67" s="15"/>
      <c r="E67" s="11"/>
      <c r="F67" s="15"/>
      <c r="G67" s="11"/>
      <c r="H67" s="11"/>
    </row>
    <row r="68" spans="1:8" x14ac:dyDescent="0.15">
      <c r="A68" s="11"/>
      <c r="B68" s="11" t="s">
        <v>111</v>
      </c>
      <c r="C68" s="11"/>
      <c r="D68" s="11"/>
      <c r="E68" s="11">
        <v>4</v>
      </c>
      <c r="F68" s="11"/>
      <c r="G68" s="11"/>
      <c r="H68" s="11"/>
    </row>
    <row r="69" spans="1:8" x14ac:dyDescent="0.15">
      <c r="A69" s="11"/>
      <c r="B69" s="11">
        <v>1</v>
      </c>
      <c r="C69" s="15"/>
      <c r="D69" s="15"/>
      <c r="E69" s="11"/>
      <c r="F69" s="15"/>
      <c r="G69" s="11"/>
      <c r="H69" s="11"/>
    </row>
    <row r="70" spans="1:8" x14ac:dyDescent="0.15">
      <c r="A70" s="11"/>
      <c r="B70" s="11">
        <v>2</v>
      </c>
      <c r="C70" s="15"/>
      <c r="D70" s="15"/>
      <c r="E70" s="11"/>
      <c r="F70" s="15"/>
      <c r="G70" s="11"/>
      <c r="H70" s="11"/>
    </row>
    <row r="71" spans="1:8" x14ac:dyDescent="0.15">
      <c r="A71" s="11"/>
      <c r="B71" s="11">
        <v>3</v>
      </c>
      <c r="C71" s="15"/>
      <c r="D71" s="15"/>
      <c r="E71" s="11"/>
      <c r="F71" s="15"/>
      <c r="G71" s="11"/>
      <c r="H71" s="11"/>
    </row>
    <row r="72" spans="1:8" x14ac:dyDescent="0.15">
      <c r="A72" s="11"/>
      <c r="B72" s="11">
        <v>4</v>
      </c>
      <c r="C72" s="15"/>
      <c r="D72" s="15"/>
      <c r="E72" s="11"/>
      <c r="F72" s="15"/>
      <c r="G72" s="11"/>
      <c r="H72" s="11"/>
    </row>
    <row r="73" spans="1:8" x14ac:dyDescent="0.15">
      <c r="A73" s="11"/>
      <c r="B73" s="11" t="s">
        <v>177</v>
      </c>
      <c r="C73" s="11"/>
      <c r="D73" s="11"/>
      <c r="E73" s="11"/>
      <c r="F73" s="11"/>
      <c r="G73" s="11" t="s">
        <v>174</v>
      </c>
      <c r="H73" s="11"/>
    </row>
    <row r="74" spans="1:8" x14ac:dyDescent="0.15">
      <c r="A74" s="11"/>
      <c r="B74" s="11">
        <v>1</v>
      </c>
      <c r="C74" s="15"/>
      <c r="D74" s="15"/>
      <c r="E74" s="11"/>
      <c r="F74" s="15"/>
      <c r="G74" s="16"/>
      <c r="H74" s="11"/>
    </row>
    <row r="75" spans="1:8" x14ac:dyDescent="0.15">
      <c r="A75" s="11"/>
      <c r="B75" s="11">
        <v>2</v>
      </c>
      <c r="C75" s="15"/>
      <c r="D75" s="15"/>
      <c r="E75" s="11"/>
      <c r="F75" s="15"/>
      <c r="G75" s="16"/>
      <c r="H75" s="11"/>
    </row>
    <row r="76" spans="1:8" x14ac:dyDescent="0.15">
      <c r="A76" s="11"/>
      <c r="B76" s="11">
        <v>3</v>
      </c>
      <c r="C76" s="15"/>
      <c r="D76" s="15"/>
      <c r="E76" s="11"/>
      <c r="F76" s="15"/>
      <c r="G76" s="16"/>
      <c r="H76" s="11"/>
    </row>
    <row r="77" spans="1:8" x14ac:dyDescent="0.15">
      <c r="A77" s="11"/>
      <c r="B77" s="11">
        <v>4</v>
      </c>
      <c r="C77" s="15"/>
      <c r="D77" s="15"/>
      <c r="E77" s="11"/>
      <c r="F77" s="15"/>
      <c r="G77" s="16"/>
      <c r="H77" s="11"/>
    </row>
    <row r="78" spans="1:8" x14ac:dyDescent="0.15">
      <c r="A78" s="11"/>
      <c r="B78" s="11" t="s">
        <v>193</v>
      </c>
      <c r="C78" s="11"/>
      <c r="D78" s="11"/>
      <c r="E78" s="11"/>
      <c r="F78" s="11"/>
      <c r="G78" s="11"/>
      <c r="H78" s="11" t="s">
        <v>173</v>
      </c>
    </row>
    <row r="79" spans="1:8" x14ac:dyDescent="0.15">
      <c r="A79" s="11"/>
      <c r="B79" s="11">
        <v>1</v>
      </c>
      <c r="C79" s="15"/>
      <c r="D79" s="15"/>
      <c r="E79" s="11"/>
      <c r="F79" s="18"/>
      <c r="G79" s="11"/>
      <c r="H79" s="17"/>
    </row>
    <row r="80" spans="1:8" x14ac:dyDescent="0.15">
      <c r="A80" s="11"/>
      <c r="B80" s="11">
        <v>2</v>
      </c>
      <c r="C80" s="15"/>
      <c r="D80" s="15"/>
      <c r="E80" s="11"/>
      <c r="F80" s="18"/>
      <c r="G80" s="11"/>
      <c r="H80" s="17"/>
    </row>
    <row r="81" spans="1:8" x14ac:dyDescent="0.15">
      <c r="A81" s="11" t="s">
        <v>146</v>
      </c>
      <c r="B81" s="11"/>
      <c r="C81" s="11" t="s">
        <v>153</v>
      </c>
      <c r="D81" s="11">
        <v>1</v>
      </c>
      <c r="E81" s="11">
        <v>1</v>
      </c>
      <c r="F81" s="15"/>
      <c r="G81" s="11"/>
      <c r="H81" s="11"/>
    </row>
    <row r="82" spans="1:8" x14ac:dyDescent="0.15">
      <c r="A82" s="11" t="s">
        <v>112</v>
      </c>
      <c r="B82" s="11"/>
      <c r="C82" s="11" t="s">
        <v>55</v>
      </c>
      <c r="D82" s="11">
        <v>1</v>
      </c>
      <c r="E82" s="11">
        <v>1</v>
      </c>
      <c r="F82" s="15"/>
      <c r="G82" s="11" t="s">
        <v>178</v>
      </c>
      <c r="H82" s="11"/>
    </row>
    <row r="83" spans="1:8" x14ac:dyDescent="0.15">
      <c r="A83" s="11"/>
      <c r="B83" s="11" t="s">
        <v>447</v>
      </c>
      <c r="C83" s="11"/>
      <c r="D83" s="11"/>
      <c r="E83" s="11"/>
      <c r="F83" s="18"/>
      <c r="G83" s="11"/>
      <c r="H83" s="11"/>
    </row>
    <row r="84" spans="1:8" x14ac:dyDescent="0.15">
      <c r="A84" s="11"/>
      <c r="B84" s="11">
        <v>1</v>
      </c>
      <c r="C84" s="15"/>
      <c r="D84" s="15"/>
      <c r="E84" s="11"/>
      <c r="F84" s="18"/>
      <c r="G84" s="16"/>
      <c r="H84" s="11"/>
    </row>
    <row r="85" spans="1:8" x14ac:dyDescent="0.15">
      <c r="A85" s="11"/>
      <c r="B85" s="11">
        <v>2</v>
      </c>
      <c r="C85" s="15"/>
      <c r="D85" s="15"/>
      <c r="E85" s="11"/>
      <c r="F85" s="18"/>
      <c r="G85" s="16"/>
      <c r="H85" s="11"/>
    </row>
    <row r="86" spans="1:8" x14ac:dyDescent="0.15">
      <c r="A86" s="11"/>
      <c r="B86" s="11">
        <v>3</v>
      </c>
      <c r="C86" s="15"/>
      <c r="D86" s="15"/>
      <c r="E86" s="11"/>
      <c r="F86" s="18"/>
      <c r="G86" s="16"/>
      <c r="H86" s="11"/>
    </row>
    <row r="87" spans="1:8" x14ac:dyDescent="0.15">
      <c r="A87" s="11"/>
      <c r="B87" s="11">
        <v>4</v>
      </c>
      <c r="C87" s="15"/>
      <c r="D87" s="15"/>
      <c r="E87" s="11"/>
      <c r="F87" s="18"/>
      <c r="G87" s="16"/>
      <c r="H87" s="11"/>
    </row>
    <row r="88" spans="1:8" x14ac:dyDescent="0.15">
      <c r="A88" s="11" t="s">
        <v>190</v>
      </c>
      <c r="B88" s="11"/>
      <c r="C88" s="11"/>
      <c r="D88" s="11"/>
      <c r="E88" s="11"/>
      <c r="F88" s="11"/>
      <c r="G88" s="11" t="s">
        <v>171</v>
      </c>
      <c r="H88" s="11" t="s">
        <v>172</v>
      </c>
    </row>
    <row r="89" spans="1:8" x14ac:dyDescent="0.15">
      <c r="A89" s="11"/>
      <c r="B89" s="11">
        <v>1</v>
      </c>
      <c r="C89" s="15"/>
      <c r="D89" s="15"/>
      <c r="E89" s="11"/>
      <c r="F89" s="18"/>
      <c r="G89" s="16"/>
      <c r="H89" s="17"/>
    </row>
    <row r="90" spans="1:8" x14ac:dyDescent="0.15">
      <c r="A90" s="11"/>
      <c r="B90" s="11">
        <v>2</v>
      </c>
      <c r="C90" s="15"/>
      <c r="D90" s="15"/>
      <c r="E90" s="11"/>
      <c r="F90" s="18"/>
      <c r="G90" s="16"/>
      <c r="H90" s="17"/>
    </row>
    <row r="91" spans="1:8" x14ac:dyDescent="0.15">
      <c r="A91" s="11"/>
      <c r="B91" s="11">
        <v>3</v>
      </c>
      <c r="C91" s="15"/>
      <c r="D91" s="15"/>
      <c r="E91" s="11"/>
      <c r="F91" s="18"/>
      <c r="G91" s="16"/>
      <c r="H91" s="17"/>
    </row>
    <row r="92" spans="1:8" x14ac:dyDescent="0.15">
      <c r="A92" s="11"/>
      <c r="B92" s="11">
        <v>4</v>
      </c>
      <c r="C92" s="15"/>
      <c r="D92" s="15"/>
      <c r="E92" s="11"/>
      <c r="F92" s="18"/>
      <c r="G92" s="16"/>
      <c r="H92" s="17"/>
    </row>
    <row r="93" spans="1:8" x14ac:dyDescent="0.15">
      <c r="A93" s="11"/>
      <c r="B93" s="11">
        <v>5</v>
      </c>
      <c r="C93" s="15"/>
      <c r="D93" s="15"/>
      <c r="E93" s="11"/>
      <c r="F93" s="18"/>
      <c r="G93" s="16"/>
      <c r="H93" s="17"/>
    </row>
    <row r="94" spans="1:8" x14ac:dyDescent="0.15">
      <c r="A94" s="11"/>
      <c r="B94" s="11">
        <v>6</v>
      </c>
      <c r="C94" s="15"/>
      <c r="D94" s="15"/>
      <c r="E94" s="11"/>
      <c r="F94" s="18"/>
      <c r="G94" s="16"/>
      <c r="H94" s="17"/>
    </row>
    <row r="95" spans="1:8" x14ac:dyDescent="0.15">
      <c r="A95" s="11" t="s">
        <v>113</v>
      </c>
      <c r="B95" s="11"/>
      <c r="C95" s="11"/>
      <c r="D95" s="11"/>
      <c r="E95" s="11">
        <v>2</v>
      </c>
      <c r="F95" s="11"/>
      <c r="G95" s="11"/>
      <c r="H95" s="11"/>
    </row>
    <row r="96" spans="1:8" x14ac:dyDescent="0.15">
      <c r="A96" s="11"/>
      <c r="B96" s="11">
        <v>1</v>
      </c>
      <c r="C96" s="15"/>
      <c r="D96" s="15"/>
      <c r="E96" s="11"/>
      <c r="F96" s="15"/>
      <c r="G96" s="11"/>
      <c r="H96" s="11"/>
    </row>
    <row r="97" spans="1:8" x14ac:dyDescent="0.15">
      <c r="A97" s="11"/>
      <c r="B97" s="11">
        <v>2</v>
      </c>
      <c r="C97" s="15"/>
      <c r="D97" s="15"/>
      <c r="E97" s="11"/>
      <c r="F97" s="15"/>
      <c r="G97" s="11"/>
      <c r="H97" s="11"/>
    </row>
    <row r="98" spans="1:8" x14ac:dyDescent="0.15">
      <c r="A98" s="11"/>
      <c r="B98" s="11" t="s">
        <v>191</v>
      </c>
      <c r="C98" s="11"/>
      <c r="D98" s="11"/>
      <c r="E98" s="11"/>
      <c r="F98" s="11"/>
      <c r="G98" s="11" t="s">
        <v>170</v>
      </c>
      <c r="H98" s="11" t="s">
        <v>169</v>
      </c>
    </row>
    <row r="99" spans="1:8" x14ac:dyDescent="0.15">
      <c r="A99" s="11"/>
      <c r="B99" s="11">
        <v>1</v>
      </c>
      <c r="C99" s="15"/>
      <c r="D99" s="15"/>
      <c r="E99" s="11"/>
      <c r="F99" s="18"/>
      <c r="G99" s="16"/>
      <c r="H99" s="17"/>
    </row>
    <row r="100" spans="1:8" x14ac:dyDescent="0.15">
      <c r="A100" s="11"/>
      <c r="B100" s="11">
        <v>2</v>
      </c>
      <c r="C100" s="15"/>
      <c r="D100" s="15"/>
      <c r="E100" s="11"/>
      <c r="F100" s="18"/>
      <c r="G100" s="16"/>
      <c r="H100" s="17"/>
    </row>
    <row r="101" spans="1:8" x14ac:dyDescent="0.15">
      <c r="A101" s="11"/>
      <c r="B101" s="41">
        <v>3</v>
      </c>
      <c r="C101" s="42"/>
      <c r="D101" s="42"/>
      <c r="E101" s="11"/>
      <c r="F101" s="18"/>
      <c r="G101" s="16"/>
      <c r="H101" s="17"/>
    </row>
    <row r="102" spans="1:8" x14ac:dyDescent="0.15">
      <c r="A102" s="11"/>
      <c r="B102" s="41">
        <v>4</v>
      </c>
      <c r="C102" s="42"/>
      <c r="D102" s="42"/>
      <c r="E102" s="11"/>
      <c r="F102" s="18"/>
      <c r="G102" s="16"/>
      <c r="H102" s="17"/>
    </row>
    <row r="103" spans="1:8" x14ac:dyDescent="0.15">
      <c r="A103" s="11"/>
      <c r="B103" s="41">
        <v>5</v>
      </c>
      <c r="C103" s="42"/>
      <c r="D103" s="42"/>
      <c r="E103" s="11"/>
      <c r="F103" s="18"/>
      <c r="G103" s="16"/>
      <c r="H103" s="17"/>
    </row>
    <row r="104" spans="1:8" x14ac:dyDescent="0.15">
      <c r="A104" s="36"/>
      <c r="B104" s="43">
        <v>6</v>
      </c>
      <c r="C104" s="42"/>
      <c r="D104" s="42"/>
      <c r="E104" s="37"/>
      <c r="F104" s="38"/>
      <c r="G104" s="39"/>
      <c r="H104" s="40"/>
    </row>
    <row r="106" spans="1:8" x14ac:dyDescent="0.15">
      <c r="A106" s="11" t="s">
        <v>192</v>
      </c>
      <c r="B106" s="11"/>
      <c r="C106" s="11"/>
      <c r="D106" s="11"/>
      <c r="E106" s="11"/>
      <c r="F106" s="11"/>
      <c r="G106" s="11" t="s">
        <v>179</v>
      </c>
      <c r="H106" s="11" t="s">
        <v>166</v>
      </c>
    </row>
    <row r="107" spans="1:8" x14ac:dyDescent="0.15">
      <c r="A107" s="11"/>
      <c r="B107" s="11">
        <v>1</v>
      </c>
      <c r="C107" s="15"/>
      <c r="D107" s="15"/>
      <c r="E107" s="11"/>
      <c r="F107" s="18"/>
      <c r="G107" s="16"/>
      <c r="H107" s="17"/>
    </row>
    <row r="108" spans="1:8" x14ac:dyDescent="0.15">
      <c r="A108" s="11"/>
      <c r="B108" s="11">
        <v>2</v>
      </c>
      <c r="C108" s="15"/>
      <c r="D108" s="15"/>
      <c r="E108" s="11"/>
      <c r="F108" s="18"/>
      <c r="G108" s="16"/>
      <c r="H108" s="17"/>
    </row>
    <row r="109" spans="1:8" x14ac:dyDescent="0.15">
      <c r="A109" s="11"/>
      <c r="B109" s="11">
        <v>3</v>
      </c>
      <c r="C109" s="15"/>
      <c r="D109" s="15"/>
      <c r="E109" s="11"/>
      <c r="F109" s="18"/>
      <c r="G109" s="16"/>
      <c r="H109" s="17"/>
    </row>
    <row r="110" spans="1:8" x14ac:dyDescent="0.15">
      <c r="A110" s="11"/>
      <c r="B110" s="11">
        <v>4</v>
      </c>
      <c r="C110" s="15"/>
      <c r="D110" s="15"/>
      <c r="E110" s="11"/>
      <c r="F110" s="18"/>
      <c r="G110" s="16"/>
      <c r="H110" s="17"/>
    </row>
    <row r="111" spans="1:8" x14ac:dyDescent="0.15">
      <c r="A111" s="11"/>
      <c r="B111" s="11">
        <v>5</v>
      </c>
      <c r="C111" s="15"/>
      <c r="D111" s="15"/>
      <c r="E111" s="11"/>
      <c r="F111" s="18"/>
      <c r="G111" s="16"/>
      <c r="H111" s="17"/>
    </row>
    <row r="112" spans="1:8" x14ac:dyDescent="0.15">
      <c r="A112" s="11"/>
      <c r="B112" s="11">
        <v>6</v>
      </c>
      <c r="C112" s="15"/>
      <c r="D112" s="15"/>
      <c r="E112" s="11"/>
      <c r="F112" s="18"/>
      <c r="G112" s="16"/>
      <c r="H112" s="17"/>
    </row>
    <row r="113" spans="1:8" x14ac:dyDescent="0.15">
      <c r="A113" s="1"/>
      <c r="B113" s="1"/>
      <c r="C113" s="4"/>
      <c r="D113" s="4"/>
      <c r="E113" s="4"/>
      <c r="F113" s="4"/>
      <c r="G113" s="4"/>
      <c r="H113" s="4"/>
    </row>
    <row r="114" spans="1:8" x14ac:dyDescent="0.15">
      <c r="A114" s="3" t="s">
        <v>159</v>
      </c>
    </row>
    <row r="115" spans="1:8" ht="27" x14ac:dyDescent="0.15">
      <c r="A115" s="12" t="s">
        <v>152</v>
      </c>
      <c r="B115" s="5" t="s">
        <v>132</v>
      </c>
      <c r="C115" s="5" t="s">
        <v>133</v>
      </c>
      <c r="D115" s="5" t="s">
        <v>129</v>
      </c>
      <c r="E115" s="13" t="s">
        <v>157</v>
      </c>
      <c r="F115" s="14" t="s">
        <v>144</v>
      </c>
      <c r="G115" s="14" t="s">
        <v>150</v>
      </c>
      <c r="H115" s="14" t="s">
        <v>151</v>
      </c>
    </row>
    <row r="116" spans="1:8" x14ac:dyDescent="0.15">
      <c r="A116" s="11" t="s">
        <v>114</v>
      </c>
      <c r="B116" s="11"/>
      <c r="C116" s="11"/>
      <c r="D116" s="11"/>
      <c r="E116" s="11">
        <v>7</v>
      </c>
      <c r="F116" s="11"/>
      <c r="G116" s="11"/>
      <c r="H116" s="11"/>
    </row>
    <row r="117" spans="1:8" x14ac:dyDescent="0.15">
      <c r="A117" s="11"/>
      <c r="B117" s="11"/>
      <c r="C117" s="11" t="s">
        <v>20</v>
      </c>
      <c r="D117" s="11">
        <v>1</v>
      </c>
      <c r="E117" s="11"/>
      <c r="F117" s="15"/>
      <c r="G117" s="11"/>
      <c r="H117" s="11"/>
    </row>
    <row r="118" spans="1:8" x14ac:dyDescent="0.15">
      <c r="A118" s="11"/>
      <c r="B118" s="11"/>
      <c r="C118" s="11" t="s">
        <v>115</v>
      </c>
      <c r="D118" s="11">
        <v>1</v>
      </c>
      <c r="E118" s="11"/>
      <c r="F118" s="15"/>
      <c r="G118" s="11"/>
      <c r="H118" s="11"/>
    </row>
    <row r="119" spans="1:8" x14ac:dyDescent="0.15">
      <c r="A119" s="11"/>
      <c r="B119" s="11"/>
      <c r="C119" s="11" t="s">
        <v>116</v>
      </c>
      <c r="D119" s="11">
        <v>1</v>
      </c>
      <c r="E119" s="11"/>
      <c r="F119" s="15"/>
      <c r="G119" s="11"/>
      <c r="H119" s="11"/>
    </row>
    <row r="120" spans="1:8" x14ac:dyDescent="0.15">
      <c r="A120" s="11"/>
      <c r="B120" s="11"/>
      <c r="C120" s="11" t="s">
        <v>117</v>
      </c>
      <c r="D120" s="11">
        <v>1</v>
      </c>
      <c r="E120" s="11"/>
      <c r="F120" s="15"/>
      <c r="G120" s="11"/>
      <c r="H120" s="11"/>
    </row>
    <row r="121" spans="1:8" x14ac:dyDescent="0.15">
      <c r="A121" s="11"/>
      <c r="B121" s="11"/>
      <c r="C121" s="11" t="s">
        <v>70</v>
      </c>
      <c r="D121" s="11">
        <v>1</v>
      </c>
      <c r="E121" s="11"/>
      <c r="F121" s="15"/>
      <c r="G121" s="11"/>
      <c r="H121" s="11"/>
    </row>
    <row r="122" spans="1:8" x14ac:dyDescent="0.15">
      <c r="A122" s="11"/>
      <c r="B122" s="11"/>
      <c r="C122" s="11" t="s">
        <v>71</v>
      </c>
      <c r="D122" s="11">
        <v>1</v>
      </c>
      <c r="E122" s="11"/>
      <c r="F122" s="15"/>
      <c r="G122" s="11"/>
      <c r="H122" s="11"/>
    </row>
    <row r="123" spans="1:8" x14ac:dyDescent="0.15">
      <c r="A123" s="11"/>
      <c r="B123" s="11"/>
      <c r="C123" s="11" t="s">
        <v>72</v>
      </c>
      <c r="D123" s="11">
        <v>1</v>
      </c>
      <c r="E123" s="11"/>
      <c r="F123" s="15"/>
      <c r="G123" s="11"/>
      <c r="H123" s="11"/>
    </row>
    <row r="124" spans="1:8" x14ac:dyDescent="0.15">
      <c r="A124" s="11" t="s">
        <v>118</v>
      </c>
      <c r="B124" s="11"/>
      <c r="C124" s="11"/>
      <c r="D124" s="11"/>
      <c r="E124" s="11">
        <v>28</v>
      </c>
      <c r="F124" s="11"/>
      <c r="G124" s="11"/>
      <c r="H124" s="11"/>
    </row>
    <row r="125" spans="1:8" x14ac:dyDescent="0.15">
      <c r="A125" s="11"/>
      <c r="B125" s="11"/>
      <c r="C125" s="11" t="s">
        <v>119</v>
      </c>
      <c r="D125" s="11">
        <v>2</v>
      </c>
      <c r="E125" s="11">
        <v>2</v>
      </c>
      <c r="F125" s="15"/>
      <c r="G125" s="11"/>
      <c r="H125" s="11"/>
    </row>
    <row r="126" spans="1:8" x14ac:dyDescent="0.15">
      <c r="A126" s="11"/>
      <c r="B126" s="11" t="s">
        <v>154</v>
      </c>
      <c r="C126" s="11"/>
      <c r="D126" s="11"/>
      <c r="E126" s="11">
        <v>2</v>
      </c>
      <c r="F126" s="11"/>
      <c r="G126" s="11"/>
      <c r="H126" s="11"/>
    </row>
    <row r="127" spans="1:8" x14ac:dyDescent="0.15">
      <c r="A127" s="11"/>
      <c r="B127" s="11">
        <v>1</v>
      </c>
      <c r="C127" s="15"/>
      <c r="D127" s="11">
        <v>1</v>
      </c>
      <c r="E127" s="11"/>
      <c r="F127" s="15"/>
      <c r="G127" s="11"/>
      <c r="H127" s="11"/>
    </row>
    <row r="128" spans="1:8" x14ac:dyDescent="0.15">
      <c r="A128" s="11"/>
      <c r="B128" s="11">
        <v>2</v>
      </c>
      <c r="C128" s="15"/>
      <c r="D128" s="11">
        <v>1</v>
      </c>
      <c r="E128" s="11"/>
      <c r="F128" s="15"/>
      <c r="G128" s="11"/>
      <c r="H128" s="11"/>
    </row>
    <row r="129" spans="1:8" x14ac:dyDescent="0.15">
      <c r="A129" s="11"/>
      <c r="B129" s="11" t="s">
        <v>155</v>
      </c>
      <c r="C129" s="11"/>
      <c r="D129" s="11"/>
      <c r="E129" s="11">
        <v>2</v>
      </c>
      <c r="F129" s="11"/>
      <c r="G129" s="11"/>
      <c r="H129" s="11"/>
    </row>
    <row r="130" spans="1:8" x14ac:dyDescent="0.15">
      <c r="A130" s="11"/>
      <c r="B130" s="11">
        <v>1</v>
      </c>
      <c r="C130" s="15"/>
      <c r="D130" s="11">
        <v>1</v>
      </c>
      <c r="E130" s="11"/>
      <c r="F130" s="15"/>
      <c r="G130" s="11"/>
      <c r="H130" s="11"/>
    </row>
    <row r="131" spans="1:8" x14ac:dyDescent="0.15">
      <c r="A131" s="11"/>
      <c r="B131" s="11">
        <v>2</v>
      </c>
      <c r="C131" s="15"/>
      <c r="D131" s="11">
        <v>1</v>
      </c>
      <c r="E131" s="11"/>
      <c r="F131" s="15"/>
      <c r="G131" s="11"/>
      <c r="H131" s="11"/>
    </row>
    <row r="132" spans="1:8" x14ac:dyDescent="0.15">
      <c r="A132" s="11"/>
      <c r="B132" s="11" t="s">
        <v>156</v>
      </c>
      <c r="C132" s="11"/>
      <c r="D132" s="11"/>
      <c r="E132" s="11">
        <v>2</v>
      </c>
      <c r="F132" s="11"/>
      <c r="G132" s="11"/>
      <c r="H132" s="11"/>
    </row>
    <row r="133" spans="1:8" x14ac:dyDescent="0.15">
      <c r="A133" s="11"/>
      <c r="B133" s="11">
        <v>1</v>
      </c>
      <c r="C133" s="15"/>
      <c r="D133" s="11">
        <v>1</v>
      </c>
      <c r="E133" s="11"/>
      <c r="F133" s="15"/>
      <c r="G133" s="11"/>
      <c r="H133" s="11"/>
    </row>
    <row r="134" spans="1:8" x14ac:dyDescent="0.15">
      <c r="A134" s="11"/>
      <c r="B134" s="11">
        <v>2</v>
      </c>
      <c r="C134" s="15"/>
      <c r="D134" s="11">
        <v>1</v>
      </c>
      <c r="E134" s="11"/>
      <c r="F134" s="15"/>
      <c r="G134" s="11"/>
      <c r="H134" s="11"/>
    </row>
    <row r="135" spans="1:8" x14ac:dyDescent="0.15">
      <c r="A135" s="11"/>
      <c r="B135" s="11" t="s">
        <v>164</v>
      </c>
      <c r="C135" s="11"/>
      <c r="D135" s="11"/>
      <c r="E135" s="11">
        <v>20</v>
      </c>
      <c r="F135" s="11"/>
      <c r="G135" s="11"/>
      <c r="H135" s="11"/>
    </row>
    <row r="136" spans="1:8" x14ac:dyDescent="0.15">
      <c r="A136" s="11"/>
      <c r="B136" s="11">
        <v>1</v>
      </c>
      <c r="C136" s="15"/>
      <c r="D136" s="11">
        <v>1</v>
      </c>
      <c r="E136" s="11"/>
      <c r="F136" s="15"/>
      <c r="G136" s="11"/>
      <c r="H136" s="11"/>
    </row>
    <row r="137" spans="1:8" x14ac:dyDescent="0.15">
      <c r="A137" s="11"/>
      <c r="B137" s="11">
        <v>2</v>
      </c>
      <c r="C137" s="15"/>
      <c r="D137" s="11">
        <v>1</v>
      </c>
      <c r="E137" s="11"/>
      <c r="F137" s="15"/>
      <c r="G137" s="11"/>
      <c r="H137" s="11"/>
    </row>
    <row r="138" spans="1:8" x14ac:dyDescent="0.15">
      <c r="A138" s="11"/>
      <c r="B138" s="11">
        <v>3</v>
      </c>
      <c r="C138" s="15"/>
      <c r="D138" s="11">
        <v>1</v>
      </c>
      <c r="E138" s="11"/>
      <c r="F138" s="15"/>
      <c r="G138" s="11"/>
      <c r="H138" s="11"/>
    </row>
    <row r="139" spans="1:8" x14ac:dyDescent="0.15">
      <c r="A139" s="11"/>
      <c r="B139" s="11">
        <v>4</v>
      </c>
      <c r="C139" s="15"/>
      <c r="D139" s="11">
        <v>1</v>
      </c>
      <c r="E139" s="11"/>
      <c r="F139" s="15"/>
      <c r="G139" s="11"/>
      <c r="H139" s="11"/>
    </row>
    <row r="140" spans="1:8" x14ac:dyDescent="0.15">
      <c r="A140" s="11"/>
      <c r="B140" s="11">
        <v>5</v>
      </c>
      <c r="C140" s="15"/>
      <c r="D140" s="11">
        <v>1</v>
      </c>
      <c r="E140" s="11"/>
      <c r="F140" s="15"/>
      <c r="G140" s="11"/>
      <c r="H140" s="11"/>
    </row>
    <row r="141" spans="1:8" x14ac:dyDescent="0.15">
      <c r="A141" s="11"/>
      <c r="B141" s="11">
        <v>6</v>
      </c>
      <c r="C141" s="15"/>
      <c r="D141" s="11">
        <v>1</v>
      </c>
      <c r="E141" s="11"/>
      <c r="F141" s="15"/>
      <c r="G141" s="11"/>
      <c r="H141" s="11"/>
    </row>
    <row r="142" spans="1:8" x14ac:dyDescent="0.15">
      <c r="A142" s="11"/>
      <c r="B142" s="11">
        <v>7</v>
      </c>
      <c r="C142" s="15"/>
      <c r="D142" s="11">
        <v>1</v>
      </c>
      <c r="E142" s="11"/>
      <c r="F142" s="15"/>
      <c r="G142" s="11"/>
      <c r="H142" s="11"/>
    </row>
    <row r="143" spans="1:8" x14ac:dyDescent="0.15">
      <c r="A143" s="11"/>
      <c r="B143" s="11">
        <v>8</v>
      </c>
      <c r="C143" s="15"/>
      <c r="D143" s="11">
        <v>1</v>
      </c>
      <c r="E143" s="11"/>
      <c r="F143" s="15"/>
      <c r="G143" s="11"/>
      <c r="H143" s="11"/>
    </row>
    <row r="144" spans="1:8" x14ac:dyDescent="0.15">
      <c r="A144" s="11"/>
      <c r="B144" s="11">
        <v>9</v>
      </c>
      <c r="C144" s="15"/>
      <c r="D144" s="11">
        <v>1</v>
      </c>
      <c r="E144" s="11"/>
      <c r="F144" s="15"/>
      <c r="G144" s="11"/>
      <c r="H144" s="11"/>
    </row>
    <row r="145" spans="1:8" x14ac:dyDescent="0.15">
      <c r="A145" s="11"/>
      <c r="B145" s="11">
        <v>10</v>
      </c>
      <c r="C145" s="15"/>
      <c r="D145" s="11">
        <v>1</v>
      </c>
      <c r="E145" s="11"/>
      <c r="F145" s="15"/>
      <c r="G145" s="11"/>
      <c r="H145" s="11"/>
    </row>
    <row r="146" spans="1:8" x14ac:dyDescent="0.15">
      <c r="A146" s="11"/>
      <c r="B146" s="11">
        <v>11</v>
      </c>
      <c r="C146" s="15"/>
      <c r="D146" s="11">
        <v>1</v>
      </c>
      <c r="E146" s="11"/>
      <c r="F146" s="15"/>
      <c r="G146" s="11"/>
      <c r="H146" s="11"/>
    </row>
    <row r="147" spans="1:8" x14ac:dyDescent="0.15">
      <c r="A147" s="11"/>
      <c r="B147" s="11">
        <v>12</v>
      </c>
      <c r="C147" s="15"/>
      <c r="D147" s="11">
        <v>1</v>
      </c>
      <c r="E147" s="11"/>
      <c r="F147" s="15"/>
      <c r="G147" s="11"/>
      <c r="H147" s="11"/>
    </row>
    <row r="148" spans="1:8" x14ac:dyDescent="0.15">
      <c r="A148" s="11"/>
      <c r="B148" s="11">
        <v>13</v>
      </c>
      <c r="C148" s="15"/>
      <c r="D148" s="11">
        <v>1</v>
      </c>
      <c r="E148" s="11"/>
      <c r="F148" s="15"/>
      <c r="G148" s="11"/>
      <c r="H148" s="11"/>
    </row>
    <row r="149" spans="1:8" x14ac:dyDescent="0.15">
      <c r="A149" s="11"/>
      <c r="B149" s="11">
        <v>14</v>
      </c>
      <c r="C149" s="15"/>
      <c r="D149" s="11">
        <v>1</v>
      </c>
      <c r="E149" s="11"/>
      <c r="F149" s="15"/>
      <c r="G149" s="11"/>
      <c r="H149" s="11"/>
    </row>
    <row r="150" spans="1:8" x14ac:dyDescent="0.15">
      <c r="A150" s="11"/>
      <c r="B150" s="11">
        <v>15</v>
      </c>
      <c r="C150" s="15"/>
      <c r="D150" s="11">
        <v>1</v>
      </c>
      <c r="E150" s="11"/>
      <c r="F150" s="15"/>
      <c r="G150" s="11"/>
      <c r="H150" s="11"/>
    </row>
    <row r="151" spans="1:8" x14ac:dyDescent="0.15">
      <c r="A151" s="11"/>
      <c r="B151" s="11">
        <v>16</v>
      </c>
      <c r="C151" s="15"/>
      <c r="D151" s="11">
        <v>1</v>
      </c>
      <c r="E151" s="11"/>
      <c r="F151" s="15"/>
      <c r="G151" s="11"/>
      <c r="H151" s="11"/>
    </row>
    <row r="152" spans="1:8" x14ac:dyDescent="0.15">
      <c r="A152" s="11"/>
      <c r="B152" s="11">
        <v>17</v>
      </c>
      <c r="C152" s="15"/>
      <c r="D152" s="11">
        <v>1</v>
      </c>
      <c r="E152" s="11"/>
      <c r="F152" s="15"/>
      <c r="G152" s="11"/>
      <c r="H152" s="11"/>
    </row>
    <row r="153" spans="1:8" x14ac:dyDescent="0.15">
      <c r="A153" s="11"/>
      <c r="B153" s="11">
        <v>18</v>
      </c>
      <c r="C153" s="15"/>
      <c r="D153" s="11">
        <v>1</v>
      </c>
      <c r="E153" s="11"/>
      <c r="F153" s="15"/>
      <c r="G153" s="11"/>
      <c r="H153" s="11"/>
    </row>
    <row r="154" spans="1:8" x14ac:dyDescent="0.15">
      <c r="A154" s="11"/>
      <c r="B154" s="11">
        <v>19</v>
      </c>
      <c r="C154" s="15"/>
      <c r="D154" s="11">
        <v>1</v>
      </c>
      <c r="E154" s="11"/>
      <c r="F154" s="15"/>
      <c r="G154" s="11"/>
      <c r="H154" s="11"/>
    </row>
    <row r="155" spans="1:8" x14ac:dyDescent="0.15">
      <c r="A155" s="11"/>
      <c r="B155" s="11">
        <v>20</v>
      </c>
      <c r="C155" s="15"/>
      <c r="D155" s="11">
        <v>1</v>
      </c>
      <c r="E155" s="11"/>
      <c r="F155" s="15"/>
      <c r="G155" s="11"/>
      <c r="H155" s="11"/>
    </row>
    <row r="156" spans="1:8" x14ac:dyDescent="0.15">
      <c r="A156" s="11"/>
      <c r="B156" s="11" t="s">
        <v>177</v>
      </c>
      <c r="C156" s="11"/>
      <c r="D156" s="11"/>
      <c r="E156" s="11"/>
      <c r="F156" s="11"/>
      <c r="G156" s="11"/>
      <c r="H156" s="11" t="s">
        <v>165</v>
      </c>
    </row>
    <row r="157" spans="1:8" x14ac:dyDescent="0.15">
      <c r="A157" s="11"/>
      <c r="B157" s="11">
        <v>1</v>
      </c>
      <c r="C157" s="15"/>
      <c r="D157" s="11">
        <v>1</v>
      </c>
      <c r="E157" s="11"/>
      <c r="F157" s="15"/>
      <c r="G157" s="11"/>
      <c r="H157" s="17"/>
    </row>
    <row r="158" spans="1:8" x14ac:dyDescent="0.15">
      <c r="A158" s="11"/>
      <c r="B158" s="11">
        <v>2</v>
      </c>
      <c r="C158" s="15"/>
      <c r="D158" s="11">
        <v>1</v>
      </c>
      <c r="E158" s="11"/>
      <c r="F158" s="15"/>
      <c r="G158" s="11"/>
      <c r="H158" s="17"/>
    </row>
    <row r="159" spans="1:8" x14ac:dyDescent="0.15">
      <c r="A159" s="11" t="s">
        <v>120</v>
      </c>
      <c r="B159" s="11"/>
      <c r="C159" s="11"/>
      <c r="D159" s="11"/>
      <c r="E159" s="11">
        <v>8</v>
      </c>
      <c r="F159" s="11"/>
      <c r="G159" s="11"/>
      <c r="H159" s="11"/>
    </row>
    <row r="160" spans="1:8" x14ac:dyDescent="0.15">
      <c r="A160" s="11"/>
      <c r="B160" s="11"/>
      <c r="C160" s="11" t="s">
        <v>121</v>
      </c>
      <c r="D160" s="11">
        <v>2</v>
      </c>
      <c r="E160" s="11"/>
      <c r="F160" s="15"/>
      <c r="G160" s="11"/>
      <c r="H160" s="11"/>
    </row>
    <row r="161" spans="1:8" x14ac:dyDescent="0.15">
      <c r="A161" s="11"/>
      <c r="B161" s="11"/>
      <c r="C161" s="11" t="s">
        <v>122</v>
      </c>
      <c r="D161" s="11">
        <v>1</v>
      </c>
      <c r="E161" s="11"/>
      <c r="F161" s="15"/>
      <c r="G161" s="11"/>
      <c r="H161" s="11"/>
    </row>
    <row r="162" spans="1:8" x14ac:dyDescent="0.15">
      <c r="A162" s="11"/>
      <c r="B162" s="11"/>
      <c r="C162" s="11" t="s">
        <v>122</v>
      </c>
      <c r="D162" s="11">
        <v>1</v>
      </c>
      <c r="E162" s="11"/>
      <c r="F162" s="15"/>
      <c r="G162" s="11"/>
      <c r="H162" s="11"/>
    </row>
    <row r="163" spans="1:8" x14ac:dyDescent="0.15">
      <c r="A163" s="11"/>
      <c r="B163" s="11"/>
      <c r="C163" s="11" t="s">
        <v>122</v>
      </c>
      <c r="D163" s="11">
        <v>1</v>
      </c>
      <c r="E163" s="11"/>
      <c r="F163" s="15"/>
      <c r="G163" s="11"/>
      <c r="H163" s="11"/>
    </row>
    <row r="164" spans="1:8" x14ac:dyDescent="0.15">
      <c r="A164" s="11"/>
      <c r="B164" s="11"/>
      <c r="C164" s="11" t="s">
        <v>122</v>
      </c>
      <c r="D164" s="11">
        <v>1</v>
      </c>
      <c r="E164" s="11"/>
      <c r="F164" s="15"/>
      <c r="G164" s="11"/>
      <c r="H164" s="11"/>
    </row>
    <row r="165" spans="1:8" x14ac:dyDescent="0.15">
      <c r="A165" s="11"/>
      <c r="B165" s="11"/>
      <c r="C165" s="11" t="s">
        <v>122</v>
      </c>
      <c r="D165" s="11">
        <v>1</v>
      </c>
      <c r="E165" s="11"/>
      <c r="F165" s="15"/>
      <c r="G165" s="11"/>
      <c r="H165" s="11"/>
    </row>
    <row r="166" spans="1:8" x14ac:dyDescent="0.15">
      <c r="A166" s="11"/>
      <c r="B166" s="11"/>
      <c r="C166" s="11" t="s">
        <v>122</v>
      </c>
      <c r="D166" s="11">
        <v>1</v>
      </c>
      <c r="E166" s="11"/>
      <c r="F166" s="15"/>
      <c r="G166" s="11"/>
      <c r="H166" s="11"/>
    </row>
    <row r="167" spans="1:8" x14ac:dyDescent="0.15">
      <c r="A167" s="11"/>
      <c r="B167" s="11" t="s">
        <v>177</v>
      </c>
      <c r="C167" s="11"/>
      <c r="D167" s="11"/>
      <c r="E167" s="11"/>
      <c r="F167" s="11"/>
      <c r="G167" s="11"/>
      <c r="H167" s="11" t="s">
        <v>167</v>
      </c>
    </row>
    <row r="168" spans="1:8" x14ac:dyDescent="0.15">
      <c r="A168" s="11"/>
      <c r="B168" s="11">
        <v>1</v>
      </c>
      <c r="C168" s="15"/>
      <c r="D168" s="18">
        <v>1</v>
      </c>
      <c r="E168" s="11"/>
      <c r="F168" s="15"/>
      <c r="G168" s="11"/>
      <c r="H168" s="17"/>
    </row>
    <row r="169" spans="1:8" x14ac:dyDescent="0.15">
      <c r="A169" s="11"/>
      <c r="B169" s="11">
        <v>2</v>
      </c>
      <c r="C169" s="15"/>
      <c r="D169" s="18">
        <v>1</v>
      </c>
      <c r="E169" s="11"/>
      <c r="F169" s="15"/>
      <c r="G169" s="11"/>
      <c r="H169" s="17"/>
    </row>
    <row r="170" spans="1:8" x14ac:dyDescent="0.15">
      <c r="A170" s="11" t="s">
        <v>123</v>
      </c>
      <c r="B170" s="11"/>
      <c r="C170" s="11"/>
      <c r="D170" s="11"/>
      <c r="E170" s="11">
        <v>2</v>
      </c>
      <c r="F170" s="11"/>
      <c r="G170" s="11"/>
      <c r="H170" s="11"/>
    </row>
    <row r="171" spans="1:8" x14ac:dyDescent="0.15">
      <c r="A171" s="11"/>
      <c r="B171" s="11"/>
      <c r="C171" s="11" t="s">
        <v>124</v>
      </c>
      <c r="D171" s="11">
        <v>1</v>
      </c>
      <c r="E171" s="11"/>
      <c r="F171" s="15"/>
      <c r="G171" s="11"/>
      <c r="H171" s="11"/>
    </row>
    <row r="172" spans="1:8" x14ac:dyDescent="0.15">
      <c r="A172" s="11"/>
      <c r="B172" s="11"/>
      <c r="C172" s="11" t="s">
        <v>125</v>
      </c>
      <c r="D172" s="11">
        <v>1</v>
      </c>
      <c r="E172" s="11"/>
      <c r="F172" s="15"/>
      <c r="G172" s="11"/>
      <c r="H172" s="11"/>
    </row>
    <row r="173" spans="1:8" x14ac:dyDescent="0.15">
      <c r="A173" s="11"/>
      <c r="B173" s="11" t="s">
        <v>177</v>
      </c>
      <c r="C173" s="11"/>
      <c r="D173" s="11"/>
      <c r="E173" s="11"/>
      <c r="F173" s="11"/>
      <c r="G173" s="11"/>
      <c r="H173" s="11" t="s">
        <v>168</v>
      </c>
    </row>
    <row r="174" spans="1:8" x14ac:dyDescent="0.15">
      <c r="A174" s="11"/>
      <c r="B174" s="11">
        <v>1</v>
      </c>
      <c r="C174" s="15"/>
      <c r="D174" s="15">
        <v>1</v>
      </c>
      <c r="E174" s="11"/>
      <c r="F174" s="15"/>
      <c r="G174" s="11"/>
      <c r="H174" s="17"/>
    </row>
    <row r="175" spans="1:8" x14ac:dyDescent="0.15">
      <c r="A175" s="11"/>
      <c r="B175" s="11">
        <v>2</v>
      </c>
      <c r="C175" s="15"/>
      <c r="D175" s="15">
        <v>2</v>
      </c>
      <c r="E175" s="11"/>
      <c r="F175" s="15"/>
      <c r="G175" s="11"/>
      <c r="H175" s="17"/>
    </row>
    <row r="176" spans="1:8" x14ac:dyDescent="0.15">
      <c r="A176" s="11" t="s">
        <v>126</v>
      </c>
      <c r="B176" s="11"/>
      <c r="C176" s="11"/>
      <c r="D176" s="11"/>
      <c r="E176" s="11">
        <v>19</v>
      </c>
      <c r="F176" s="11"/>
      <c r="G176" s="11"/>
      <c r="H176" s="11"/>
    </row>
    <row r="177" spans="1:8" x14ac:dyDescent="0.15">
      <c r="A177" s="11"/>
      <c r="B177" s="11" t="s">
        <v>147</v>
      </c>
      <c r="C177" s="11"/>
      <c r="D177" s="11"/>
      <c r="E177" s="11">
        <v>9</v>
      </c>
      <c r="F177" s="11"/>
      <c r="G177" s="11"/>
      <c r="H177" s="11"/>
    </row>
    <row r="178" spans="1:8" x14ac:dyDescent="0.15">
      <c r="A178" s="11"/>
      <c r="B178" s="11"/>
      <c r="C178" s="11" t="s">
        <v>11</v>
      </c>
      <c r="D178" s="11">
        <v>2</v>
      </c>
      <c r="E178" s="11"/>
      <c r="F178" s="15"/>
      <c r="G178" s="11"/>
      <c r="H178" s="11"/>
    </row>
    <row r="179" spans="1:8" x14ac:dyDescent="0.15">
      <c r="A179" s="11"/>
      <c r="B179" s="11"/>
      <c r="C179" s="11" t="s">
        <v>12</v>
      </c>
      <c r="D179" s="11">
        <v>5</v>
      </c>
      <c r="E179" s="11"/>
      <c r="F179" s="15"/>
      <c r="G179" s="11"/>
      <c r="H179" s="11"/>
    </row>
    <row r="180" spans="1:8" x14ac:dyDescent="0.15">
      <c r="A180" s="11"/>
      <c r="B180" s="11"/>
      <c r="C180" s="11" t="s">
        <v>92</v>
      </c>
      <c r="D180" s="11">
        <v>2</v>
      </c>
      <c r="E180" s="11"/>
      <c r="F180" s="15"/>
      <c r="G180" s="11"/>
      <c r="H180" s="11"/>
    </row>
    <row r="181" spans="1:8" x14ac:dyDescent="0.15">
      <c r="A181" s="11"/>
      <c r="B181" s="11" t="s">
        <v>148</v>
      </c>
      <c r="C181" s="11"/>
      <c r="D181" s="11"/>
      <c r="E181" s="11">
        <v>4</v>
      </c>
      <c r="F181" s="11"/>
      <c r="G181" s="11"/>
      <c r="H181" s="11"/>
    </row>
    <row r="182" spans="1:8" x14ac:dyDescent="0.15">
      <c r="A182" s="11"/>
      <c r="B182" s="11"/>
      <c r="C182" s="11" t="s">
        <v>127</v>
      </c>
      <c r="D182" s="11">
        <v>2</v>
      </c>
      <c r="E182" s="11"/>
      <c r="F182" s="15"/>
      <c r="G182" s="11"/>
      <c r="H182" s="11"/>
    </row>
    <row r="183" spans="1:8" x14ac:dyDescent="0.15">
      <c r="A183" s="11"/>
      <c r="B183" s="11"/>
      <c r="C183" s="11" t="s">
        <v>128</v>
      </c>
      <c r="D183" s="11">
        <v>2</v>
      </c>
      <c r="E183" s="11"/>
      <c r="F183" s="15"/>
      <c r="G183" s="11"/>
      <c r="H183" s="11"/>
    </row>
    <row r="184" spans="1:8" x14ac:dyDescent="0.15">
      <c r="A184" s="11"/>
      <c r="B184" s="11" t="s">
        <v>149</v>
      </c>
      <c r="C184" s="11"/>
      <c r="D184" s="11"/>
      <c r="E184" s="11">
        <v>6</v>
      </c>
      <c r="F184" s="11"/>
      <c r="G184" s="11"/>
      <c r="H184" s="11"/>
    </row>
    <row r="185" spans="1:8" x14ac:dyDescent="0.15">
      <c r="A185" s="11"/>
      <c r="B185" s="11">
        <v>1</v>
      </c>
      <c r="C185" s="15"/>
      <c r="D185" s="18">
        <v>1</v>
      </c>
      <c r="E185" s="11"/>
      <c r="F185" s="15"/>
      <c r="G185" s="11"/>
      <c r="H185" s="11"/>
    </row>
    <row r="186" spans="1:8" x14ac:dyDescent="0.15">
      <c r="A186" s="11"/>
      <c r="B186" s="11">
        <v>2</v>
      </c>
      <c r="C186" s="15"/>
      <c r="D186" s="18">
        <v>1</v>
      </c>
      <c r="E186" s="11"/>
      <c r="F186" s="15"/>
      <c r="G186" s="11"/>
      <c r="H186" s="11"/>
    </row>
    <row r="187" spans="1:8" x14ac:dyDescent="0.15">
      <c r="A187" s="11"/>
      <c r="B187" s="11">
        <v>3</v>
      </c>
      <c r="C187" s="15"/>
      <c r="D187" s="18">
        <v>1</v>
      </c>
      <c r="E187" s="11"/>
      <c r="F187" s="15"/>
      <c r="G187" s="11"/>
      <c r="H187" s="11"/>
    </row>
    <row r="188" spans="1:8" x14ac:dyDescent="0.15">
      <c r="A188" s="11"/>
      <c r="B188" s="11">
        <v>4</v>
      </c>
      <c r="C188" s="15"/>
      <c r="D188" s="18">
        <v>1</v>
      </c>
      <c r="E188" s="11"/>
      <c r="F188" s="15"/>
      <c r="G188" s="11"/>
      <c r="H188" s="11"/>
    </row>
    <row r="189" spans="1:8" x14ac:dyDescent="0.15">
      <c r="A189" s="11"/>
      <c r="B189" s="11">
        <v>5</v>
      </c>
      <c r="C189" s="15"/>
      <c r="D189" s="18">
        <v>1</v>
      </c>
      <c r="E189" s="11"/>
      <c r="F189" s="15"/>
      <c r="G189" s="11"/>
      <c r="H189" s="11"/>
    </row>
    <row r="190" spans="1:8" x14ac:dyDescent="0.15">
      <c r="A190" s="11"/>
      <c r="B190" s="11">
        <v>6</v>
      </c>
      <c r="C190" s="15"/>
      <c r="D190" s="18">
        <v>1</v>
      </c>
      <c r="E190" s="11"/>
      <c r="F190" s="15"/>
      <c r="G190" s="11"/>
      <c r="H190" s="11"/>
    </row>
    <row r="191" spans="1:8" x14ac:dyDescent="0.15">
      <c r="A191" s="11"/>
      <c r="B191" s="11" t="s">
        <v>177</v>
      </c>
      <c r="C191" s="11"/>
      <c r="D191" s="11"/>
      <c r="E191" s="11"/>
      <c r="F191" s="11"/>
      <c r="G191" s="18"/>
      <c r="H191" s="11" t="s">
        <v>180</v>
      </c>
    </row>
    <row r="192" spans="1:8" x14ac:dyDescent="0.15">
      <c r="A192" s="11"/>
      <c r="B192" s="11">
        <v>1</v>
      </c>
      <c r="C192" s="15"/>
      <c r="D192" s="18">
        <v>1</v>
      </c>
      <c r="E192" s="11"/>
      <c r="F192" s="15"/>
      <c r="G192" s="18"/>
      <c r="H192" s="17"/>
    </row>
    <row r="193" spans="1:8" x14ac:dyDescent="0.15">
      <c r="A193" s="11"/>
      <c r="B193" s="11">
        <v>2</v>
      </c>
      <c r="C193" s="15"/>
      <c r="D193" s="18">
        <v>1</v>
      </c>
      <c r="E193" s="11"/>
      <c r="F193" s="15"/>
      <c r="G193" s="18"/>
      <c r="H193" s="17"/>
    </row>
  </sheetData>
  <mergeCells count="8">
    <mergeCell ref="A11:B11"/>
    <mergeCell ref="A3:B3"/>
    <mergeCell ref="A4:B4"/>
    <mergeCell ref="A5:B5"/>
    <mergeCell ref="A7:B7"/>
    <mergeCell ref="A8:B8"/>
    <mergeCell ref="A10:B10"/>
    <mergeCell ref="A9:B9"/>
  </mergeCells>
  <phoneticPr fontId="1"/>
  <pageMargins left="0.7" right="0.7" top="0.75" bottom="0.75" header="0.3" footer="0.3"/>
  <pageSetup paperSize="9" scale="74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変更不可!$A$1:$A$8</xm:f>
          </x14:formula1>
          <xm:sqref>C7</xm:sqref>
        </x14:dataValidation>
        <x14:dataValidation type="list" allowBlank="1" showInputMessage="1" showErrorMessage="1">
          <x14:formula1>
            <xm:f>変更不可!$B$1:$B$2</xm:f>
          </x14:formula1>
          <xm:sqref>F16:F17 H192:H193 F26:F32 F42:F51 F53:F54 F56:F67 F69:F72 F19:F24 F117:F123 F125 F127:F128 F130:F131 F133:F134 F136:F155 F157:F158 F160:F166 F168:F169 F171:F172 F174:F175 F178:F180 F182:F183 F185:F190 F192:F193 F34:G39 F99:H104 F74:G77 H79:H80 F89:H94 F107:H112 H157:H158 H168:H169 H174:H175 F96:F97 G84:G87 F79:F87</xm:sqref>
        </x14:dataValidation>
        <x14:dataValidation type="list" allowBlank="1" showInputMessage="1" showErrorMessage="1">
          <x14:formula1>
            <xm:f>変更不可!$C$1:$C$4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8"/>
  <sheetViews>
    <sheetView workbookViewId="0">
      <selection activeCell="E1" sqref="E1:E4"/>
    </sheetView>
  </sheetViews>
  <sheetFormatPr defaultRowHeight="13.5" x14ac:dyDescent="0.15"/>
  <cols>
    <col min="4" max="4" width="45.875" bestFit="1" customWidth="1"/>
  </cols>
  <sheetData>
    <row r="1" spans="1:3" x14ac:dyDescent="0.15">
      <c r="A1" t="s">
        <v>181</v>
      </c>
      <c r="B1" t="s">
        <v>189</v>
      </c>
      <c r="C1" t="s">
        <v>211</v>
      </c>
    </row>
    <row r="2" spans="1:3" x14ac:dyDescent="0.15">
      <c r="A2" t="s">
        <v>182</v>
      </c>
      <c r="C2" t="s">
        <v>212</v>
      </c>
    </row>
    <row r="3" spans="1:3" x14ac:dyDescent="0.15">
      <c r="A3" t="s">
        <v>183</v>
      </c>
      <c r="C3" t="s">
        <v>213</v>
      </c>
    </row>
    <row r="4" spans="1:3" x14ac:dyDescent="0.15">
      <c r="A4" t="s">
        <v>184</v>
      </c>
      <c r="C4" t="s">
        <v>214</v>
      </c>
    </row>
    <row r="5" spans="1:3" x14ac:dyDescent="0.15">
      <c r="A5" t="s">
        <v>185</v>
      </c>
    </row>
    <row r="6" spans="1:3" x14ac:dyDescent="0.15">
      <c r="A6" t="s">
        <v>186</v>
      </c>
    </row>
    <row r="7" spans="1:3" x14ac:dyDescent="0.15">
      <c r="A7" t="s">
        <v>188</v>
      </c>
    </row>
    <row r="8" spans="1:3" x14ac:dyDescent="0.15">
      <c r="A8" t="s">
        <v>187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T120"/>
  <sheetViews>
    <sheetView zoomScaleNormal="100" zoomScaleSheetLayoutView="100" workbookViewId="0">
      <selection activeCell="K32" sqref="K32"/>
    </sheetView>
  </sheetViews>
  <sheetFormatPr defaultRowHeight="13.5" x14ac:dyDescent="0.15"/>
  <cols>
    <col min="1" max="1" width="5.125" style="83" customWidth="1"/>
    <col min="2" max="2" width="5.625" style="83" customWidth="1"/>
    <col min="3" max="3" width="27.625" style="83" customWidth="1"/>
    <col min="4" max="4" width="5.625" style="83" customWidth="1"/>
    <col min="5" max="5" width="3.625" style="83" customWidth="1"/>
    <col min="6" max="6" width="32.625" style="83" customWidth="1"/>
    <col min="7" max="7" width="5.625" style="83" customWidth="1"/>
    <col min="8" max="8" width="3.625" style="83" customWidth="1"/>
    <col min="9" max="9" width="7.625" style="83" customWidth="1"/>
    <col min="10" max="10" width="10.625" style="83" customWidth="1"/>
    <col min="11" max="12" width="3.625" style="83" customWidth="1"/>
    <col min="13" max="13" width="36.625" style="83" customWidth="1"/>
    <col min="14" max="15" width="5.625" style="83" customWidth="1"/>
    <col min="16" max="16" width="9.625" style="83" customWidth="1"/>
    <col min="17" max="17" width="7.625" style="83" customWidth="1"/>
    <col min="18" max="18" width="10" style="83" customWidth="1"/>
    <col min="19" max="19" width="8.75" style="83" customWidth="1"/>
    <col min="20" max="20" width="5.875" style="83" customWidth="1"/>
    <col min="21" max="21" width="5.5" style="83" customWidth="1"/>
    <col min="22" max="22" width="3.625" style="83" customWidth="1"/>
    <col min="23" max="16384" width="9" style="83"/>
  </cols>
  <sheetData>
    <row r="1" spans="2:20" ht="20.100000000000001" customHeight="1" x14ac:dyDescent="0.25">
      <c r="B1" s="80" t="s">
        <v>220</v>
      </c>
      <c r="C1" s="81"/>
      <c r="D1" s="81"/>
      <c r="E1" s="82"/>
      <c r="F1" s="82"/>
      <c r="H1" s="82"/>
      <c r="I1" s="44"/>
      <c r="K1" s="84"/>
      <c r="L1" s="85" t="s">
        <v>234</v>
      </c>
      <c r="M1" s="446" t="str">
        <f>IF('For Data entry'!C3="","",'For Data entry'!C3)</f>
        <v/>
      </c>
      <c r="Q1" s="87"/>
      <c r="R1" s="87"/>
      <c r="S1" s="88"/>
      <c r="T1" s="88"/>
    </row>
    <row r="2" spans="2:20" ht="20.100000000000001" customHeight="1" x14ac:dyDescent="0.15">
      <c r="B2" s="89" t="s">
        <v>221</v>
      </c>
      <c r="C2" s="89"/>
      <c r="D2" s="89"/>
      <c r="E2" s="90"/>
      <c r="F2" s="90"/>
      <c r="H2" s="90"/>
      <c r="I2" s="91"/>
      <c r="K2" s="87"/>
      <c r="L2" s="85" t="s">
        <v>235</v>
      </c>
      <c r="M2" s="446" t="str">
        <f>IF('For Data entry'!C4="","",'For Data entry'!C4)</f>
        <v/>
      </c>
      <c r="S2" s="87"/>
    </row>
    <row r="3" spans="2:20" ht="20.100000000000001" customHeight="1" x14ac:dyDescent="0.15">
      <c r="I3" s="87"/>
      <c r="K3" s="87"/>
      <c r="L3" s="92" t="s">
        <v>236</v>
      </c>
      <c r="M3" s="66" t="str">
        <f>IF('For Data entry'!C5="","",'For Data entry'!C5)</f>
        <v/>
      </c>
      <c r="S3" s="87"/>
    </row>
    <row r="4" spans="2:20" ht="14.25" x14ac:dyDescent="0.15">
      <c r="B4" s="93" t="s">
        <v>222</v>
      </c>
      <c r="G4" s="83" t="s">
        <v>223</v>
      </c>
      <c r="S4" s="87"/>
    </row>
    <row r="5" spans="2:20" ht="14.25" thickBot="1" x14ac:dyDescent="0.2">
      <c r="B5" s="94" t="s">
        <v>427</v>
      </c>
      <c r="M5" s="94" t="s">
        <v>282</v>
      </c>
      <c r="O5" s="567" t="s">
        <v>247</v>
      </c>
      <c r="P5" s="568"/>
      <c r="Q5" s="563" t="s">
        <v>248</v>
      </c>
      <c r="R5" s="564"/>
      <c r="S5" s="87"/>
      <c r="T5" s="95"/>
    </row>
    <row r="6" spans="2:20" ht="14.25" customHeight="1" thickBot="1" x14ac:dyDescent="0.2">
      <c r="B6" s="602" t="s">
        <v>224</v>
      </c>
      <c r="C6" s="603"/>
      <c r="D6" s="603"/>
      <c r="E6" s="603"/>
      <c r="F6" s="604"/>
      <c r="G6" s="96">
        <v>1</v>
      </c>
      <c r="H6" s="97" t="str">
        <f>IF('For Data entry'!F17="✓","✓","□")</f>
        <v>□</v>
      </c>
      <c r="I6" s="98"/>
      <c r="J6" s="99" t="s">
        <v>267</v>
      </c>
      <c r="M6" s="69" t="str">
        <f>IF('For Data entry'!C89="","〔　　　　　　　　　　　　　　　　   　　　　　　　　〕",'For Data entry'!C89)</f>
        <v>〔　　　　　　　　　　　　　　　　   　　　　　　　　〕</v>
      </c>
      <c r="N6" s="70" t="str">
        <f>IF('For Data entry'!D89="","（　　）",'For Data entry'!D89)</f>
        <v>（　　）</v>
      </c>
      <c r="O6" s="555" t="str">
        <f>IF('For Data entry'!G89="","□",'For Data entry'!G89)</f>
        <v>□</v>
      </c>
      <c r="P6" s="556" t="str">
        <f>IF(入力用!E89="","（　　）",入力用!E89)</f>
        <v>（　　）</v>
      </c>
      <c r="Q6" s="565" t="str">
        <f>IF('For Data entry'!H89="","□",'For Data entry'!H89)</f>
        <v>□</v>
      </c>
      <c r="R6" s="566" t="str">
        <f>IF(入力用!G89="","（　　）",入力用!G89)</f>
        <v>（　　）</v>
      </c>
      <c r="S6" s="87"/>
      <c r="T6" s="100"/>
    </row>
    <row r="7" spans="2:20" x14ac:dyDescent="0.15">
      <c r="M7" s="69" t="str">
        <f>IF('For Data entry'!C90="","〔　　　　　　　　　　　　　　　　   　　　　　　　　〕",'For Data entry'!C90)</f>
        <v>〔　　　　　　　　　　　　　　　　   　　　　　　　　〕</v>
      </c>
      <c r="N7" s="70" t="str">
        <f>IF('For Data entry'!D90="","（　　）",'For Data entry'!D90)</f>
        <v>（　　）</v>
      </c>
      <c r="O7" s="555" t="str">
        <f>IF('For Data entry'!G90="","□",'For Data entry'!G90)</f>
        <v>□</v>
      </c>
      <c r="P7" s="556" t="str">
        <f>IF(入力用!E90="","（　　）",入力用!E90)</f>
        <v>（　　）</v>
      </c>
      <c r="Q7" s="565" t="str">
        <f>IF('For Data entry'!H90="","□",'For Data entry'!H90)</f>
        <v>□</v>
      </c>
      <c r="R7" s="566" t="str">
        <f>IF(入力用!G90="","（　　）",入力用!G90)</f>
        <v>（　　）</v>
      </c>
      <c r="S7" s="87"/>
      <c r="T7" s="101"/>
    </row>
    <row r="8" spans="2:20" ht="13.5" customHeight="1" thickBot="1" x14ac:dyDescent="0.2">
      <c r="B8" s="94" t="s">
        <v>428</v>
      </c>
      <c r="M8" s="69" t="str">
        <f>IF('For Data entry'!C91="","〔　　　　　　　　　　　　　　　　   　　　　　　　　〕",'For Data entry'!C91)</f>
        <v>〔　　　　　　　　　　　　　　　　   　　　　　　　　〕</v>
      </c>
      <c r="N8" s="70" t="str">
        <f>IF('For Data entry'!D91="","（　　）",'For Data entry'!D91)</f>
        <v>（　　）</v>
      </c>
      <c r="O8" s="555" t="str">
        <f>IF('For Data entry'!G91="","□",'For Data entry'!G91)</f>
        <v>□</v>
      </c>
      <c r="P8" s="556" t="str">
        <f>IF(入力用!E91="","（　　）",入力用!E91)</f>
        <v>（　　）</v>
      </c>
      <c r="Q8" s="565" t="str">
        <f>IF('For Data entry'!H91="","□",'For Data entry'!H91)</f>
        <v>□</v>
      </c>
      <c r="R8" s="566" t="str">
        <f>IF(入力用!G91="","（　　）",入力用!G91)</f>
        <v>（　　）</v>
      </c>
      <c r="S8" s="87"/>
      <c r="T8" s="100"/>
    </row>
    <row r="9" spans="2:20" ht="14.25" customHeight="1" thickBot="1" x14ac:dyDescent="0.2">
      <c r="B9" s="605" t="s">
        <v>225</v>
      </c>
      <c r="C9" s="606"/>
      <c r="D9" s="606"/>
      <c r="E9" s="606"/>
      <c r="F9" s="607"/>
      <c r="G9" s="96">
        <v>2.5</v>
      </c>
      <c r="H9" s="97" t="str">
        <f>IF('For Data entry'!F18="✓","✓","□")</f>
        <v>□</v>
      </c>
      <c r="I9" s="98"/>
      <c r="J9" s="99" t="s">
        <v>268</v>
      </c>
      <c r="M9" s="69" t="str">
        <f>IF('For Data entry'!C92="","〔　　　　　　　　　　　　　　　　   　　　　　　　　〕",'For Data entry'!C92)</f>
        <v>〔　　　　　　　　　　　　　　　　   　　　　　　　　〕</v>
      </c>
      <c r="N9" s="70" t="str">
        <f>IF('For Data entry'!D92="","（　　）",'For Data entry'!D92)</f>
        <v>（　　）</v>
      </c>
      <c r="O9" s="555" t="str">
        <f>IF('For Data entry'!G92="","□",'For Data entry'!G92)</f>
        <v>□</v>
      </c>
      <c r="P9" s="556" t="str">
        <f>IF(入力用!E92="","（　　）",入力用!E92)</f>
        <v>（　　）</v>
      </c>
      <c r="Q9" s="565" t="str">
        <f>IF('For Data entry'!H92="","□",'For Data entry'!H92)</f>
        <v>□</v>
      </c>
      <c r="R9" s="566" t="str">
        <f>IF(入力用!G92="","（　　）",入力用!G92)</f>
        <v>（　　）</v>
      </c>
      <c r="S9" s="87"/>
      <c r="T9" s="100"/>
    </row>
    <row r="10" spans="2:20" x14ac:dyDescent="0.15">
      <c r="M10" s="69" t="str">
        <f>IF('For Data entry'!C93="","〔　　　　　　　　　　　　　　　　   　　　　　　　　〕",'For Data entry'!C93)</f>
        <v>〔　　　　　　　　　　　　　　　　   　　　　　　　　〕</v>
      </c>
      <c r="N10" s="70" t="str">
        <f>IF('For Data entry'!D93="","（　　）",'For Data entry'!D93)</f>
        <v>（　　）</v>
      </c>
      <c r="O10" s="555" t="str">
        <f>IF('For Data entry'!G93="","□",'For Data entry'!G93)</f>
        <v>□</v>
      </c>
      <c r="P10" s="556" t="str">
        <f>IF(入力用!E93="","（　　）",入力用!E93)</f>
        <v>（　　）</v>
      </c>
      <c r="Q10" s="565" t="str">
        <f>IF('For Data entry'!H93="","□",'For Data entry'!H93)</f>
        <v>□</v>
      </c>
      <c r="R10" s="566" t="str">
        <f>IF(入力用!G93="","（　　）",入力用!G93)</f>
        <v>（　　）</v>
      </c>
      <c r="S10" s="87"/>
      <c r="T10" s="100"/>
    </row>
    <row r="11" spans="2:20" ht="14.25" thickBot="1" x14ac:dyDescent="0.2">
      <c r="B11" s="102" t="s">
        <v>429</v>
      </c>
      <c r="M11" s="69" t="str">
        <f>IF('For Data entry'!C94="","〔　　　　　　　　　　　　　　　　   　　　　　　　　〕",'For Data entry'!C94)</f>
        <v>〔　　　　　　　　　　　　　　　　   　　　　　　　　〕</v>
      </c>
      <c r="N11" s="70" t="str">
        <f>IF('For Data entry'!D94="","（　　）",'For Data entry'!D94)</f>
        <v>（　　）</v>
      </c>
      <c r="O11" s="555" t="str">
        <f>IF('For Data entry'!G94="","□",'For Data entry'!G94)</f>
        <v>□</v>
      </c>
      <c r="P11" s="556" t="str">
        <f>IF(入力用!E94="","（　　）",入力用!E94)</f>
        <v>（　　）</v>
      </c>
      <c r="Q11" s="565" t="str">
        <f>IF('For Data entry'!H94="","□",'For Data entry'!H94)</f>
        <v>□</v>
      </c>
      <c r="R11" s="566" t="str">
        <f>IF(入力用!G94="","（　　）",入力用!G94)</f>
        <v>（　　）</v>
      </c>
      <c r="S11" s="87"/>
      <c r="T11" s="100"/>
    </row>
    <row r="12" spans="2:20" ht="15" customHeight="1" x14ac:dyDescent="0.15">
      <c r="B12" s="586"/>
      <c r="C12" s="103" t="str">
        <f>IF('For Data entry'!C20="","〔　　　　　　　　　　　　　   　　　　〕",'For Data entry'!C20)</f>
        <v>〔　　　　　　　　　　　　　   　　　　〕</v>
      </c>
      <c r="D12" s="104" t="str">
        <f>IF('For Data entry'!D20="","（　　）",'For Data entry'!D20)</f>
        <v>（　　）</v>
      </c>
      <c r="E12" s="105" t="str">
        <f>IF('For Data entry'!F20="✓","✓","□")</f>
        <v>□</v>
      </c>
      <c r="F12" s="103" t="str">
        <f>IF('For Data entry'!C23="","〔　　　　　　　　　　　　　　　　   　　　　〕",'For Data entry'!C23)</f>
        <v>〔　　　　　　　　　　　　　　　　   　　　　〕</v>
      </c>
      <c r="G12" s="104" t="str">
        <f>IF('For Data entry'!D23="","（　　）",'For Data entry'!D23)</f>
        <v>（　　）</v>
      </c>
      <c r="H12" s="105" t="str">
        <f>IF('For Data entry'!F23="✓","✓","□")</f>
        <v>□</v>
      </c>
      <c r="I12" s="106"/>
      <c r="J12" s="107"/>
      <c r="M12" s="71"/>
      <c r="N12" s="72"/>
      <c r="O12" s="73" t="s">
        <v>253</v>
      </c>
      <c r="P12" s="108"/>
      <c r="Q12" s="64" t="s">
        <v>254</v>
      </c>
      <c r="R12" s="65"/>
      <c r="S12" s="87"/>
      <c r="T12" s="101"/>
    </row>
    <row r="13" spans="2:20" ht="15" customHeight="1" x14ac:dyDescent="0.15">
      <c r="B13" s="587"/>
      <c r="C13" s="109" t="str">
        <f>IF('For Data entry'!C21="","〔　　　　　　　　　　　　　   　　　　〕",'For Data entry'!C21)</f>
        <v>〔　　　　　　　　　　　　　   　　　　〕</v>
      </c>
      <c r="D13" s="110" t="str">
        <f>IF('For Data entry'!D21="","（　　）",'For Data entry'!D21)</f>
        <v>（　　）</v>
      </c>
      <c r="E13" s="111" t="str">
        <f>IF('For Data entry'!F21="✓","✓","□")</f>
        <v>□</v>
      </c>
      <c r="F13" s="109" t="str">
        <f>IF('For Data entry'!C24="","〔　　　　　　　　　　　　　　　　   　　　　〕",'For Data entry'!C24)</f>
        <v>〔　　　　　　　　　　　　　　　　   　　　　〕</v>
      </c>
      <c r="G13" s="112" t="str">
        <f>IF('For Data entry'!D24="","（　　）",'For Data entry'!D24)</f>
        <v>（　　）</v>
      </c>
      <c r="H13" s="111" t="str">
        <f>IF('For Data entry'!F24="✓","✓","□")</f>
        <v>□</v>
      </c>
      <c r="I13" s="113"/>
      <c r="J13" s="114"/>
      <c r="M13" s="115"/>
      <c r="N13" s="116"/>
      <c r="O13" s="76"/>
      <c r="P13" s="77" t="s">
        <v>230</v>
      </c>
      <c r="Q13" s="78"/>
      <c r="R13" s="79" t="s">
        <v>230</v>
      </c>
      <c r="S13" s="87"/>
    </row>
    <row r="14" spans="2:20" ht="15" customHeight="1" thickBot="1" x14ac:dyDescent="0.2">
      <c r="B14" s="587"/>
      <c r="C14" s="117" t="str">
        <f>IF('For Data entry'!C22="","〔　　　　　　　　　　　　　   　　　　〕",'For Data entry'!C22)</f>
        <v>〔　　　　　　　　　　　　　   　　　　〕</v>
      </c>
      <c r="D14" s="118" t="str">
        <f>IF('For Data entry'!D22="","（　　）",'For Data entry'!D22)</f>
        <v>（　　）</v>
      </c>
      <c r="E14" s="111" t="str">
        <f>IF('For Data entry'!F22="✓","✓","□")</f>
        <v>□</v>
      </c>
      <c r="F14" s="117" t="str">
        <f>IF('For Data entry'!C25="","〔　　　　　　　　　　　　　　　　   　　　　〕",'For Data entry'!C25)</f>
        <v>〔　　　　　　　　　　　　　　　　   　　　　〕</v>
      </c>
      <c r="G14" s="118" t="str">
        <f>IF('For Data entry'!D25="","（　　）",'For Data entry'!D25)</f>
        <v>（　　）</v>
      </c>
      <c r="H14" s="111" t="str">
        <f>IF('For Data entry'!F25="✓","✓","□")</f>
        <v>□</v>
      </c>
      <c r="I14" s="119" t="s">
        <v>230</v>
      </c>
      <c r="J14" s="120" t="s">
        <v>269</v>
      </c>
      <c r="M14" s="121" t="s">
        <v>433</v>
      </c>
      <c r="N14" s="44"/>
      <c r="O14" s="44"/>
      <c r="P14" s="44"/>
      <c r="Q14" s="45"/>
      <c r="R14" s="45"/>
      <c r="S14" s="87"/>
    </row>
    <row r="15" spans="2:20" ht="14.25" customHeight="1" thickBot="1" x14ac:dyDescent="0.2">
      <c r="B15" s="588" t="s">
        <v>226</v>
      </c>
      <c r="C15" s="122" t="s">
        <v>227</v>
      </c>
      <c r="D15" s="123">
        <v>2</v>
      </c>
      <c r="E15" s="105" t="str">
        <f>IF('For Data entry'!F27="✓","✓","□")</f>
        <v>□</v>
      </c>
      <c r="F15" s="103" t="str">
        <f>IF('For Data entry'!C31="","〔　　　　　　　　　　　　　　　　   　　　　〕",'For Data entry'!C31)</f>
        <v>〔　　　　　　　　　　　　　　　　   　　　　〕</v>
      </c>
      <c r="G15" s="104" t="str">
        <f>IF('For Data entry'!D31="","（　　）",'For Data entry'!D31)</f>
        <v>（　　）</v>
      </c>
      <c r="H15" s="105" t="str">
        <f>IF('For Data entry'!F31="✓","✓","□")</f>
        <v>□</v>
      </c>
      <c r="I15" s="124"/>
      <c r="J15" s="107"/>
      <c r="M15" s="94" t="s">
        <v>434</v>
      </c>
      <c r="S15" s="87"/>
    </row>
    <row r="16" spans="2:20" ht="13.5" customHeight="1" x14ac:dyDescent="0.15">
      <c r="B16" s="589"/>
      <c r="C16" s="125" t="s">
        <v>228</v>
      </c>
      <c r="D16" s="126">
        <v>1</v>
      </c>
      <c r="E16" s="127" t="str">
        <f>IF('For Data entry'!F28="✓","✓","□")</f>
        <v>□</v>
      </c>
      <c r="F16" s="109" t="str">
        <f>IF('For Data entry'!C32="","〔　　　　　　　　　　　　　　　　   　　　　〕",'For Data entry'!C32)</f>
        <v>〔　　　　　　　　　　　　　　　　   　　　　〕</v>
      </c>
      <c r="G16" s="112" t="str">
        <f>IF('For Data entry'!D32="","（　　）",'For Data entry'!D32)</f>
        <v>（　　）</v>
      </c>
      <c r="H16" s="111" t="str">
        <f>IF('For Data entry'!F32="✓","✓","□")</f>
        <v>□</v>
      </c>
      <c r="I16" s="128"/>
      <c r="J16" s="114"/>
      <c r="M16" s="67" t="str">
        <f>IF('For Data entry'!C96="","〔　　　　　　　　　　　　　　　　   　　　　　　　　〕",'For Data entry'!C96)</f>
        <v>〔　　　　　　　　　　　　　　　　   　　　　　　　　〕</v>
      </c>
      <c r="N16" s="129" t="str">
        <f>IF('For Data entry'!D96="","（　　）",'For Data entry'!D96)</f>
        <v>（　　）</v>
      </c>
      <c r="O16" s="590" t="str">
        <f>IF('For Data entry'!F96="","□",'For Data entry'!F96)</f>
        <v>□</v>
      </c>
      <c r="P16" s="591" t="str">
        <f>IF(入力用!F97="","（　　）",入力用!F97)</f>
        <v>（　　）</v>
      </c>
      <c r="Q16" s="130"/>
      <c r="R16" s="131"/>
      <c r="S16" s="87"/>
    </row>
    <row r="17" spans="2:19" ht="14.25" customHeight="1" thickBot="1" x14ac:dyDescent="0.2">
      <c r="B17" s="589"/>
      <c r="C17" s="109" t="str">
        <f>IF('For Data entry'!C29="","〔　　　　　　　　　　　　　   　　　　〕",'For Data entry'!C29)</f>
        <v>〔　　　　　　　　　　　　　   　　　　〕</v>
      </c>
      <c r="D17" s="112" t="str">
        <f>IF('For Data entry'!D29="","（　　）",'For Data entry'!D29)</f>
        <v>（　　）</v>
      </c>
      <c r="E17" s="111" t="str">
        <f>IF('For Data entry'!F29="✓","✓","□")</f>
        <v>□</v>
      </c>
      <c r="F17" s="109" t="str">
        <f>IF('For Data entry'!C33="","〔　　　　　　　　　　　　　　　　   　　　　〕",'For Data entry'!C33)</f>
        <v>〔　　　　　　　　　　　　　　　　   　　　　〕</v>
      </c>
      <c r="G17" s="112" t="str">
        <f>IF('For Data entry'!D33="","（　　）",'For Data entry'!D33)</f>
        <v>（　　）</v>
      </c>
      <c r="H17" s="111" t="str">
        <f>IF('For Data entry'!F33="✓","✓","□")</f>
        <v>□</v>
      </c>
      <c r="I17" s="113"/>
      <c r="J17" s="114"/>
      <c r="M17" s="68" t="str">
        <f>IF('For Data entry'!C97="","〔　　　　　　　　　　　　　　　　   　　　　　　　　〕",'For Data entry'!C97)</f>
        <v>〔　　　　　　　　　　　　　　　　   　　　　　　　　〕</v>
      </c>
      <c r="N17" s="132" t="str">
        <f>IF('For Data entry'!D97="","（　　）",'For Data entry'!D97)</f>
        <v>（　　）</v>
      </c>
      <c r="O17" s="592" t="str">
        <f>IF('For Data entry'!F97="","□",'For Data entry'!F97)</f>
        <v>□</v>
      </c>
      <c r="P17" s="593" t="str">
        <f>IF(入力用!F98="","（　　）",入力用!F98)</f>
        <v>（　　）</v>
      </c>
      <c r="Q17" s="54" t="s">
        <v>402</v>
      </c>
      <c r="R17" s="55" t="s">
        <v>276</v>
      </c>
      <c r="S17" s="87"/>
    </row>
    <row r="18" spans="2:19" ht="13.5" customHeight="1" thickBot="1" x14ac:dyDescent="0.2">
      <c r="B18" s="589"/>
      <c r="C18" s="117" t="str">
        <f>IF('For Data entry'!C30="","〔　　　　　　　　　　　　　   　　　　〕",'For Data entry'!C30)</f>
        <v>〔　　　　　　　　　　　　　   　　　　〕</v>
      </c>
      <c r="D18" s="118" t="str">
        <f>IF('For Data entry'!D30="","（　　）",'For Data entry'!D30)</f>
        <v>（　　）</v>
      </c>
      <c r="E18" s="133" t="str">
        <f>IF('For Data entry'!F30="✓","✓","□")</f>
        <v>□</v>
      </c>
      <c r="F18" s="117"/>
      <c r="G18" s="134"/>
      <c r="H18" s="133"/>
      <c r="I18" s="119" t="s">
        <v>230</v>
      </c>
      <c r="J18" s="120" t="s">
        <v>269</v>
      </c>
      <c r="M18" s="135" t="s">
        <v>435</v>
      </c>
      <c r="N18" s="57"/>
      <c r="O18" s="594" t="s">
        <v>249</v>
      </c>
      <c r="P18" s="595"/>
      <c r="Q18" s="569" t="s">
        <v>250</v>
      </c>
      <c r="R18" s="570"/>
      <c r="S18" s="87"/>
    </row>
    <row r="19" spans="2:19" ht="13.5" customHeight="1" x14ac:dyDescent="0.15">
      <c r="B19" s="136" t="s">
        <v>414</v>
      </c>
      <c r="C19" s="137"/>
      <c r="D19" s="138"/>
      <c r="E19" s="137"/>
      <c r="F19" s="139"/>
      <c r="G19" s="140"/>
      <c r="H19" s="141"/>
      <c r="I19" s="142" t="s">
        <v>255</v>
      </c>
      <c r="J19" s="143"/>
      <c r="M19" s="69" t="str">
        <f>IF('For Data entry'!C99="","〔　　　　　　　　　　　　　　　　   　　　　　　　　〕",'For Data entry'!C99)</f>
        <v>〔　　　　　　　　　　　　　　　　   　　　　　　　　〕</v>
      </c>
      <c r="N19" s="70" t="str">
        <f>IF('For Data entry'!D99="","（　　）",'For Data entry'!D99)</f>
        <v>（　　）</v>
      </c>
      <c r="O19" s="555" t="str">
        <f>IF('For Data entry'!G99="","□",'For Data entry'!G99)</f>
        <v>□</v>
      </c>
      <c r="P19" s="556" t="str">
        <f>IF(入力用!E102="","（　　）",入力用!E102)</f>
        <v>（　　）</v>
      </c>
      <c r="Q19" s="565" t="str">
        <f>IF('For Data entry'!H99="","□",'For Data entry'!H99)</f>
        <v>□</v>
      </c>
      <c r="R19" s="566" t="str">
        <f>IF(入力用!G102="","（　　）",入力用!G102)</f>
        <v>（　　）</v>
      </c>
      <c r="S19" s="87"/>
    </row>
    <row r="20" spans="2:19" ht="15" customHeight="1" x14ac:dyDescent="0.15">
      <c r="B20" s="144" t="str">
        <f>IF('For Data entry'!C35="","〔　　　　　　　 　　　　　　　　　　  　　　　〕",'For Data entry'!C35)</f>
        <v>〔　　　　　　　 　　　　　　　　　　  　　　　〕</v>
      </c>
      <c r="C20" s="145"/>
      <c r="D20" s="146" t="str">
        <f>IF('For Data entry'!D35="","（　　）",'For Data entry'!D35)</f>
        <v>（　　）</v>
      </c>
      <c r="E20" s="147" t="str">
        <f>IF('For Data entry'!F35="✓","✓","□")</f>
        <v>□</v>
      </c>
      <c r="F20" s="148" t="str">
        <f>IF('For Data entry'!C38="","〔　　　　　　　　　　　　　　　　   　　　　〕",'For Data entry'!C38)</f>
        <v>〔　　　　　　　　　　　　　　　　   　　　　〕</v>
      </c>
      <c r="G20" s="146" t="str">
        <f>IF('For Data entry'!D38="","（　　）",'For Data entry'!D38)</f>
        <v>（　　）</v>
      </c>
      <c r="H20" s="147" t="str">
        <f>IF('For Data entry'!F38="✓","✓","□")</f>
        <v>□</v>
      </c>
      <c r="I20" s="149"/>
      <c r="J20" s="150"/>
      <c r="M20" s="69" t="str">
        <f>IF('For Data entry'!C100="","〔　　　　　　　　　　　　　　　　   　　　　　　　　〕",'For Data entry'!C100)</f>
        <v>〔　　　　　　　　　　　　　　　　   　　　　　　　　〕</v>
      </c>
      <c r="N20" s="70" t="str">
        <f>IF('For Data entry'!D100="","（　　）",'For Data entry'!D100)</f>
        <v>（　　）</v>
      </c>
      <c r="O20" s="555" t="str">
        <f>IF('For Data entry'!G100="","□",'For Data entry'!G100)</f>
        <v>□</v>
      </c>
      <c r="P20" s="556" t="str">
        <f>IF(入力用!E103="","（　　）",入力用!E103)</f>
        <v>（　　）</v>
      </c>
      <c r="Q20" s="565" t="str">
        <f>IF('For Data entry'!H100="","□",'For Data entry'!H100)</f>
        <v>□</v>
      </c>
      <c r="R20" s="566" t="str">
        <f>IF(入力用!G103="","（　　）",入力用!G103)</f>
        <v>（　　）</v>
      </c>
      <c r="S20" s="87"/>
    </row>
    <row r="21" spans="2:19" ht="15" customHeight="1" x14ac:dyDescent="0.15">
      <c r="B21" s="144" t="str">
        <f>IF('For Data entry'!C36="","〔　　　　　　　 　　　　　　　　　　  　　　　〕",'For Data entry'!C36)</f>
        <v>〔　　　　　　　 　　　　　　　　　　  　　　　〕</v>
      </c>
      <c r="C21" s="145"/>
      <c r="D21" s="146" t="str">
        <f>IF('For Data entry'!D36="","（　　）",'For Data entry'!D36)</f>
        <v>（　　）</v>
      </c>
      <c r="E21" s="147" t="str">
        <f>IF('For Data entry'!F36="✓","✓","□")</f>
        <v>□</v>
      </c>
      <c r="F21" s="148" t="str">
        <f>IF('For Data entry'!C39="","〔　　　　　　　　　　　　　　　　   　　　　〕",'For Data entry'!C39)</f>
        <v>〔　　　　　　　　　　　　　　　　   　　　　〕</v>
      </c>
      <c r="G21" s="146" t="str">
        <f>IF('For Data entry'!D39="","（　　）",'For Data entry'!D39)</f>
        <v>（　　）</v>
      </c>
      <c r="H21" s="147" t="str">
        <f>IF('For Data entry'!F39="✓","✓","□")</f>
        <v>□</v>
      </c>
      <c r="I21" s="151"/>
      <c r="J21" s="152" t="s">
        <v>229</v>
      </c>
      <c r="M21" s="69" t="str">
        <f>IF('For Data entry'!C101="","〔　　　　　　　　　　　　　　　　   　　　　　　　　〕",'For Data entry'!C101)</f>
        <v>〔　　　　　　　　　　　　　　　　   　　　　　　　　〕</v>
      </c>
      <c r="N21" s="70" t="str">
        <f>IF('For Data entry'!D101="","（　　）",'For Data entry'!D101)</f>
        <v>（　　）</v>
      </c>
      <c r="O21" s="555" t="str">
        <f>IF('For Data entry'!G101="","□",'For Data entry'!G101)</f>
        <v>□</v>
      </c>
      <c r="P21" s="556" t="str">
        <f>IF(入力用!E105="","（　　）",入力用!E105)</f>
        <v>（　　）</v>
      </c>
      <c r="Q21" s="565" t="str">
        <f>IF('For Data entry'!H101="","□",'For Data entry'!H101)</f>
        <v>□</v>
      </c>
      <c r="R21" s="566" t="str">
        <f>IF(入力用!G105="","（　　）",入力用!G105)</f>
        <v>（　　）</v>
      </c>
      <c r="S21" s="87"/>
    </row>
    <row r="22" spans="2:19" ht="14.25" customHeight="1" x14ac:dyDescent="0.15">
      <c r="B22" s="153" t="str">
        <f>IF('For Data entry'!C37="","〔　　　　　　　 　　　　　　　　　　  　　　　〕",'For Data entry'!C37)</f>
        <v>〔　　　　　　　 　　　　　　　　　　  　　　　〕</v>
      </c>
      <c r="C22" s="154"/>
      <c r="D22" s="155" t="str">
        <f>IF('For Data entry'!D37="","（　　）",'For Data entry'!D37)</f>
        <v>（　　）</v>
      </c>
      <c r="E22" s="156" t="str">
        <f>IF('For Data entry'!F37="✓","✓","□")</f>
        <v>□</v>
      </c>
      <c r="F22" s="157" t="str">
        <f>IF('For Data entry'!C40="","〔　　　　　　　　　　　　　　　　   　　　　〕",'For Data entry'!C40)</f>
        <v>〔　　　　　　　　　　　　　　　　   　　　　〕</v>
      </c>
      <c r="G22" s="155" t="str">
        <f>IF('For Data entry'!D40="","（　　）",'For Data entry'!D40)</f>
        <v>（　　）</v>
      </c>
      <c r="H22" s="156" t="str">
        <f>IF('For Data entry'!F40="✓","✓","□")</f>
        <v>□</v>
      </c>
      <c r="I22" s="158"/>
      <c r="J22" s="159"/>
      <c r="M22" s="69" t="str">
        <f>IF('For Data entry'!C102="","〔　　　　　　　　　　　　　　　　   　　　　　　　　〕",'For Data entry'!C102)</f>
        <v>〔　　　　　　　　　　　　　　　　   　　　　　　　　〕</v>
      </c>
      <c r="N22" s="70" t="str">
        <f>IF('For Data entry'!D102="","（　　）",'For Data entry'!D102)</f>
        <v>（　　）</v>
      </c>
      <c r="O22" s="555" t="str">
        <f>IF('For Data entry'!G102="","□",'For Data entry'!G102)</f>
        <v>□</v>
      </c>
      <c r="P22" s="556" t="str">
        <f>IF(入力用!E106="","（　　）",入力用!E106)</f>
        <v>（　　）</v>
      </c>
      <c r="Q22" s="565" t="str">
        <f>IF('For Data entry'!H102="","□",'For Data entry'!H102)</f>
        <v>□</v>
      </c>
      <c r="R22" s="566" t="str">
        <f>IF(入力用!G106="","（　　）",入力用!G106)</f>
        <v>その他（F）</v>
      </c>
      <c r="S22" s="87"/>
    </row>
    <row r="23" spans="2:19" ht="13.5" customHeight="1" x14ac:dyDescent="0.15">
      <c r="B23" s="160"/>
      <c r="C23" s="160"/>
      <c r="D23" s="160"/>
      <c r="E23" s="160"/>
      <c r="F23" s="160"/>
      <c r="G23" s="160"/>
      <c r="H23" s="160"/>
      <c r="I23" s="161"/>
      <c r="J23" s="161"/>
      <c r="M23" s="69" t="str">
        <f>IF('For Data entry'!C103="","〔　　　　　　　　　　　　　　　　   　　　　　　　　〕",'For Data entry'!C103)</f>
        <v>〔　　　　　　　　　　　　　　　　   　　　　　　　　〕</v>
      </c>
      <c r="N23" s="70" t="str">
        <f>IF('For Data entry'!D103="","（　　）",'For Data entry'!D103)</f>
        <v>（　　）</v>
      </c>
      <c r="O23" s="555" t="str">
        <f>IF('For Data entry'!G103="","□",'For Data entry'!G103)</f>
        <v>□</v>
      </c>
      <c r="P23" s="556" t="str">
        <f>IF(入力用!E107="","（　　）",入力用!E107)</f>
        <v>（　　）</v>
      </c>
      <c r="Q23" s="565" t="str">
        <f>IF('For Data entry'!H103="","□",'For Data entry'!H103)</f>
        <v>□</v>
      </c>
      <c r="R23" s="566" t="str">
        <f>IF(入力用!G107="","（　　）",入力用!G107)</f>
        <v>（　　）</v>
      </c>
      <c r="S23" s="87"/>
    </row>
    <row r="24" spans="2:19" ht="14.25" thickBot="1" x14ac:dyDescent="0.2">
      <c r="B24" s="94" t="s">
        <v>430</v>
      </c>
      <c r="M24" s="69" t="str">
        <f>IF('For Data entry'!C104="","〔　　　　　　　　　　　　　　　　   　　　　　　　　〕",'For Data entry'!C104)</f>
        <v>〔　　　　　　　　　　　　　　　　   　　　　　　　　〕</v>
      </c>
      <c r="N24" s="70" t="str">
        <f>IF('For Data entry'!D104="","（　　）",'For Data entry'!D104)</f>
        <v>（　　）</v>
      </c>
      <c r="O24" s="555" t="str">
        <f>IF('For Data entry'!G104="","□",'For Data entry'!G104)</f>
        <v>□</v>
      </c>
      <c r="P24" s="556" t="str">
        <f>IF(入力用!E108="","（　　）",入力用!E108)</f>
        <v>（　　）</v>
      </c>
      <c r="Q24" s="565" t="str">
        <f>IF('For Data entry'!H104="","□",'For Data entry'!H104)</f>
        <v>□</v>
      </c>
      <c r="R24" s="566" t="str">
        <f>IF(入力用!G108="","（　　）",入力用!G108)</f>
        <v>（　　）</v>
      </c>
      <c r="S24" s="87"/>
    </row>
    <row r="25" spans="2:19" ht="14.25" customHeight="1" x14ac:dyDescent="0.15">
      <c r="B25" s="559" t="s">
        <v>397</v>
      </c>
      <c r="C25" s="560"/>
      <c r="D25" s="560"/>
      <c r="E25" s="561"/>
      <c r="F25" s="561"/>
      <c r="G25" s="561"/>
      <c r="H25" s="562"/>
      <c r="I25" s="545"/>
      <c r="J25" s="546"/>
      <c r="M25" s="71"/>
      <c r="N25" s="72"/>
      <c r="O25" s="73" t="s">
        <v>256</v>
      </c>
      <c r="P25" s="63"/>
      <c r="Q25" s="64" t="s">
        <v>257</v>
      </c>
      <c r="R25" s="65"/>
      <c r="S25" s="87"/>
    </row>
    <row r="26" spans="2:19" ht="13.5" customHeight="1" x14ac:dyDescent="0.15">
      <c r="B26" s="162" t="s">
        <v>237</v>
      </c>
      <c r="C26" s="163"/>
      <c r="D26" s="164">
        <v>1</v>
      </c>
      <c r="E26" s="165" t="str">
        <f>IF('For Data entry'!F43="✓","✓","□")</f>
        <v>□</v>
      </c>
      <c r="F26" s="166" t="s">
        <v>238</v>
      </c>
      <c r="G26" s="164">
        <v>1</v>
      </c>
      <c r="H26" s="165" t="str">
        <f>IF('For Data entry'!F48="✓","✓","□")</f>
        <v>□</v>
      </c>
      <c r="I26" s="167"/>
      <c r="J26" s="168"/>
      <c r="M26" s="74"/>
      <c r="N26" s="75"/>
      <c r="O26" s="76"/>
      <c r="P26" s="77" t="s">
        <v>230</v>
      </c>
      <c r="Q26" s="78"/>
      <c r="R26" s="79" t="s">
        <v>230</v>
      </c>
      <c r="S26" s="87"/>
    </row>
    <row r="27" spans="2:19" ht="14.25" customHeight="1" thickBot="1" x14ac:dyDescent="0.2">
      <c r="B27" s="169" t="s">
        <v>239</v>
      </c>
      <c r="C27" s="170"/>
      <c r="D27" s="171">
        <v>1</v>
      </c>
      <c r="E27" s="172" t="str">
        <f>IF('For Data entry'!F44="✓","✓","□")</f>
        <v>□</v>
      </c>
      <c r="F27" s="173" t="s">
        <v>240</v>
      </c>
      <c r="G27" s="171">
        <v>1</v>
      </c>
      <c r="H27" s="172" t="str">
        <f>IF('For Data entry'!F49="✓","✓","□")</f>
        <v>□</v>
      </c>
      <c r="I27" s="174"/>
      <c r="J27" s="114"/>
      <c r="M27" s="87"/>
      <c r="N27" s="87"/>
      <c r="O27" s="87"/>
      <c r="P27" s="87"/>
      <c r="Q27" s="87"/>
      <c r="R27" s="87"/>
      <c r="S27" s="87"/>
    </row>
    <row r="28" spans="2:19" ht="13.5" customHeight="1" x14ac:dyDescent="0.15">
      <c r="B28" s="169" t="s">
        <v>241</v>
      </c>
      <c r="C28" s="170"/>
      <c r="D28" s="171">
        <v>1</v>
      </c>
      <c r="E28" s="175" t="str">
        <f>IF('For Data entry'!F45="✓","✓","□")</f>
        <v>□</v>
      </c>
      <c r="F28" s="173" t="s">
        <v>242</v>
      </c>
      <c r="G28" s="171">
        <v>1</v>
      </c>
      <c r="H28" s="175" t="str">
        <f>IF('For Data entry'!F50="✓","✓","□")</f>
        <v>□</v>
      </c>
      <c r="I28" s="174"/>
      <c r="J28" s="114"/>
      <c r="L28" s="176"/>
      <c r="M28" s="177"/>
      <c r="N28" s="178"/>
      <c r="O28" s="179"/>
      <c r="P28" s="179"/>
      <c r="Q28" s="180"/>
      <c r="R28" s="180"/>
      <c r="S28" s="181"/>
    </row>
    <row r="29" spans="2:19" ht="13.5" customHeight="1" x14ac:dyDescent="0.15">
      <c r="B29" s="169" t="s">
        <v>243</v>
      </c>
      <c r="C29" s="170"/>
      <c r="D29" s="171">
        <v>1</v>
      </c>
      <c r="E29" s="172" t="str">
        <f>IF('For Data entry'!F46="✓","✓","□")</f>
        <v>□</v>
      </c>
      <c r="F29" s="173" t="s">
        <v>244</v>
      </c>
      <c r="G29" s="171">
        <v>1</v>
      </c>
      <c r="H29" s="172" t="str">
        <f>IF('For Data entry'!F51="✓","✓","□")</f>
        <v>□</v>
      </c>
      <c r="I29" s="113"/>
      <c r="J29" s="114"/>
      <c r="L29" s="182"/>
      <c r="M29" s="94" t="s">
        <v>283</v>
      </c>
      <c r="S29" s="87"/>
    </row>
    <row r="30" spans="2:19" ht="14.25" customHeight="1" x14ac:dyDescent="0.15">
      <c r="B30" s="183" t="s">
        <v>245</v>
      </c>
      <c r="C30" s="184"/>
      <c r="D30" s="185">
        <v>1</v>
      </c>
      <c r="E30" s="186" t="str">
        <f>IF('For Data entry'!F47="✓","✓","□")</f>
        <v>□</v>
      </c>
      <c r="F30" s="187" t="s">
        <v>246</v>
      </c>
      <c r="G30" s="185">
        <v>1</v>
      </c>
      <c r="H30" s="186" t="str">
        <f>IF('For Data entry'!F52="✓","✓","□")</f>
        <v>□</v>
      </c>
      <c r="I30" s="188" t="s">
        <v>230</v>
      </c>
      <c r="J30" s="189" t="s">
        <v>275</v>
      </c>
      <c r="L30" s="182"/>
      <c r="M30" s="190"/>
      <c r="O30" s="567" t="s">
        <v>251</v>
      </c>
      <c r="P30" s="568"/>
      <c r="Q30" s="563" t="s">
        <v>252</v>
      </c>
      <c r="R30" s="564"/>
      <c r="S30" s="87"/>
    </row>
    <row r="31" spans="2:19" ht="13.5" customHeight="1" x14ac:dyDescent="0.15">
      <c r="B31" s="191" t="s">
        <v>431</v>
      </c>
      <c r="C31" s="192"/>
      <c r="D31" s="192"/>
      <c r="E31" s="192"/>
      <c r="F31" s="87"/>
      <c r="G31" s="87"/>
      <c r="H31" s="87"/>
      <c r="I31" s="193"/>
      <c r="J31" s="114"/>
      <c r="L31" s="182"/>
      <c r="M31" s="69" t="str">
        <f>IF('For Data entry'!C107="","〔　　　　　　　　　　　　　　　　   　　　　　　　　〕",'For Data entry'!C107)</f>
        <v>〔　　　　　　　　　　　　　　　　   　　　　　　　　〕</v>
      </c>
      <c r="N31" s="70" t="str">
        <f>IF('For Data entry'!D107="","（　　）",'For Data entry'!D107)</f>
        <v>（　　）</v>
      </c>
      <c r="O31" s="555" t="str">
        <f>IF('For Data entry'!G107="","□",'For Data entry'!G107)</f>
        <v>□</v>
      </c>
      <c r="P31" s="556" t="str">
        <f>IF(入力用!E115="","（　　）",入力用!E115)</f>
        <v>最低修得単位数</v>
      </c>
      <c r="Q31" s="565" t="str">
        <f>IF('For Data entry'!H107="","□",'For Data entry'!H107)</f>
        <v>□</v>
      </c>
      <c r="R31" s="566" t="str">
        <f>IF(入力用!G115="","（　　）",入力用!G115)</f>
        <v>その他
(基幹教育)</v>
      </c>
      <c r="S31" s="87"/>
    </row>
    <row r="32" spans="2:19" ht="15" customHeight="1" thickBot="1" x14ac:dyDescent="0.2">
      <c r="B32" s="194" t="str">
        <f>IF('For Data entry'!C54="","〔　　　　　　　 　　　　　　　　　　  　　　　〕",'For Data entry'!C54)</f>
        <v>〔　　　　　　　 　　　　　　　　　　  　　　　〕</v>
      </c>
      <c r="C32" s="195"/>
      <c r="D32" s="196" t="str">
        <f>IF('For Data entry'!D54="","（　　）",'For Data entry'!D54)</f>
        <v>（　　）</v>
      </c>
      <c r="E32" s="197" t="str">
        <f>IF('For Data entry'!F54="✓","✓","□")</f>
        <v>□</v>
      </c>
      <c r="F32" s="86" t="str">
        <f>IF('For Data entry'!C55="","〔　　　　　　　　　　　　　　　　   　　　　〕",'For Data entry'!C55)</f>
        <v>〔　　　　　　　　　　　　　　　　   　　　　〕</v>
      </c>
      <c r="G32" s="198" t="str">
        <f>IF('For Data entry'!D55="","（　　）",'For Data entry'!D55)</f>
        <v>（　　）</v>
      </c>
      <c r="H32" s="199" t="str">
        <f>IF('For Data entry'!F55="✓","✓","□")</f>
        <v>□</v>
      </c>
      <c r="I32" s="200" t="s">
        <v>230</v>
      </c>
      <c r="J32" s="201" t="s">
        <v>276</v>
      </c>
      <c r="L32" s="182"/>
      <c r="M32" s="69" t="str">
        <f>IF('For Data entry'!C108="","〔　　　　　　　　　　　　　　　　   　　　　　　　　〕",'For Data entry'!C108)</f>
        <v>〔　　　　　　　　　　　　　　　　   　　　　　　　　〕</v>
      </c>
      <c r="N32" s="70" t="str">
        <f>IF('For Data entry'!D108="","（　　）",'For Data entry'!D108)</f>
        <v>（　　）</v>
      </c>
      <c r="O32" s="555" t="str">
        <f>IF('For Data entry'!G108="","□",'For Data entry'!G108)</f>
        <v>□</v>
      </c>
      <c r="P32" s="556">
        <f>IF(入力用!E116="","（　　）",入力用!E116)</f>
        <v>7</v>
      </c>
      <c r="Q32" s="565" t="str">
        <f>IF('For Data entry'!H108="","□",'For Data entry'!H108)</f>
        <v>□</v>
      </c>
      <c r="R32" s="566" t="str">
        <f>IF(入力用!G116="","（　　）",入力用!G116)</f>
        <v>（　　）</v>
      </c>
      <c r="S32" s="87"/>
    </row>
    <row r="33" spans="2:19" ht="13.5" customHeight="1" x14ac:dyDescent="0.15">
      <c r="B33" s="559" t="s">
        <v>279</v>
      </c>
      <c r="C33" s="561"/>
      <c r="D33" s="561"/>
      <c r="E33" s="561"/>
      <c r="F33" s="561"/>
      <c r="G33" s="561"/>
      <c r="H33" s="562"/>
      <c r="I33" s="545"/>
      <c r="J33" s="546"/>
      <c r="L33" s="182"/>
      <c r="M33" s="69" t="str">
        <f>IF('For Data entry'!C109="","〔　　　　　　　　　　　　　　　　   　　　　　　　　〕",'For Data entry'!C109)</f>
        <v>〔　　　　　　　　　　　　　　　　   　　　　　　　　〕</v>
      </c>
      <c r="N33" s="70" t="str">
        <f>IF('For Data entry'!D109="","（　　）",'For Data entry'!D109)</f>
        <v>（　　）</v>
      </c>
      <c r="O33" s="555" t="str">
        <f>IF('For Data entry'!G109="","□",'For Data entry'!G109)</f>
        <v>□</v>
      </c>
      <c r="P33" s="556" t="str">
        <f>IF(入力用!E117="","（　　）",入力用!E117)</f>
        <v>（　　）</v>
      </c>
      <c r="Q33" s="565" t="str">
        <f>IF('For Data entry'!H109="","□",'For Data entry'!H109)</f>
        <v>□</v>
      </c>
      <c r="R33" s="566" t="str">
        <f>IF(入力用!G117="","（　　）",入力用!G117)</f>
        <v>（　　）</v>
      </c>
      <c r="S33" s="87"/>
    </row>
    <row r="34" spans="2:19" ht="14.25" customHeight="1" x14ac:dyDescent="0.15">
      <c r="B34" s="202" t="str">
        <f>IF('For Data entry'!C57="","〔　　　　　　　 　　　　　　　　　　  　　　　〕",'For Data entry'!C57)</f>
        <v>〔　　　　　　　 　　　　　　　　　　  　　　　〕</v>
      </c>
      <c r="C34" s="203"/>
      <c r="D34" s="164">
        <v>1</v>
      </c>
      <c r="E34" s="165" t="str">
        <f>IF('For Data entry'!F57="✓","✓","□")</f>
        <v>□</v>
      </c>
      <c r="F34" s="204" t="str">
        <f>IF('For Data entry'!C63="","〔　　　　　　　　　　　　　　　　   　　　　〕",'For Data entry'!C63)</f>
        <v>〔　　　　　　　　　　　　　　　　   　　　　〕</v>
      </c>
      <c r="G34" s="164">
        <v>1</v>
      </c>
      <c r="H34" s="165" t="str">
        <f>IF('For Data entry'!F63="✓","✓","□")</f>
        <v>□</v>
      </c>
      <c r="I34" s="205"/>
      <c r="J34" s="206"/>
      <c r="L34" s="182"/>
      <c r="M34" s="69" t="str">
        <f>IF('For Data entry'!C110="","〔　　　　　　　　　　　　　　　　   　　　　　　　　〕",'For Data entry'!C110)</f>
        <v>〔　　　　　　　　　　　　　　　　   　　　　　　　　〕</v>
      </c>
      <c r="N34" s="70" t="str">
        <f>IF('For Data entry'!D110="","（　　）",'For Data entry'!D110)</f>
        <v>（　　）</v>
      </c>
      <c r="O34" s="555" t="str">
        <f>IF('For Data entry'!G110="","□",'For Data entry'!G110)</f>
        <v>□</v>
      </c>
      <c r="P34" s="556" t="str">
        <f>IF(入力用!E118="","（　　）",入力用!E118)</f>
        <v>（　　）</v>
      </c>
      <c r="Q34" s="565" t="str">
        <f>IF('For Data entry'!H110="","□",'For Data entry'!H110)</f>
        <v>□</v>
      </c>
      <c r="R34" s="566" t="str">
        <f>IF(入力用!G118="","（　　）",入力用!G118)</f>
        <v>（　　）</v>
      </c>
      <c r="S34" s="87"/>
    </row>
    <row r="35" spans="2:19" ht="13.5" customHeight="1" x14ac:dyDescent="0.15">
      <c r="B35" s="207" t="str">
        <f>IF('For Data entry'!C58="","〔　　　　　　　 　　　　　　　　　　  　　　　〕",'For Data entry'!C58)</f>
        <v>〔　　　　　　　 　　　　　　　　　　  　　　　〕</v>
      </c>
      <c r="C35" s="208"/>
      <c r="D35" s="171">
        <v>1</v>
      </c>
      <c r="E35" s="172" t="str">
        <f>IF('For Data entry'!F58="✓","✓","□")</f>
        <v>□</v>
      </c>
      <c r="F35" s="209" t="str">
        <f>IF('For Data entry'!C64="","〔　　　　　　　　　　　　　　　　   　　　　〕",'For Data entry'!C64)</f>
        <v>〔　　　　　　　　　　　　　　　　   　　　　〕</v>
      </c>
      <c r="G35" s="171">
        <v>1</v>
      </c>
      <c r="H35" s="172" t="str">
        <f>IF('For Data entry'!F64="✓","✓","□")</f>
        <v>□</v>
      </c>
      <c r="I35" s="210"/>
      <c r="J35" s="211"/>
      <c r="L35" s="182"/>
      <c r="M35" s="69" t="str">
        <f>IF('For Data entry'!C111="","〔　　　　　　　　　　　　　　　　   　　　　　　　　〕",'For Data entry'!C111)</f>
        <v>〔　　　　　　　　　　　　　　　　   　　　　　　　　〕</v>
      </c>
      <c r="N35" s="70" t="str">
        <f>IF('For Data entry'!D111="","（　　）",'For Data entry'!D111)</f>
        <v>（　　）</v>
      </c>
      <c r="O35" s="555" t="str">
        <f>IF('For Data entry'!G111="","□",'For Data entry'!G111)</f>
        <v>□</v>
      </c>
      <c r="P35" s="556" t="str">
        <f>IF(入力用!E119="","（　　）",入力用!E119)</f>
        <v>（　　）</v>
      </c>
      <c r="Q35" s="565" t="str">
        <f>IF('For Data entry'!H111="","□",'For Data entry'!H111)</f>
        <v>□</v>
      </c>
      <c r="R35" s="566" t="str">
        <f>IF(入力用!G119="","（　　）",入力用!G119)</f>
        <v>（　　）</v>
      </c>
      <c r="S35" s="87"/>
    </row>
    <row r="36" spans="2:19" ht="13.5" customHeight="1" x14ac:dyDescent="0.15">
      <c r="B36" s="207" t="str">
        <f>IF('For Data entry'!C59="","〔　　　　　　　 　　　　　　　　　　  　　　　〕",'For Data entry'!C59)</f>
        <v>〔　　　　　　　 　　　　　　　　　　  　　　　〕</v>
      </c>
      <c r="C36" s="208"/>
      <c r="D36" s="171">
        <v>1</v>
      </c>
      <c r="E36" s="175" t="str">
        <f>IF('For Data entry'!F59="✓","✓","□")</f>
        <v>□</v>
      </c>
      <c r="F36" s="209" t="str">
        <f>IF('For Data entry'!C65="","〔　　　　　　　　　　　　　　　　   　　　　〕",'For Data entry'!C65)</f>
        <v>〔　　　　　　　　　　　　　　　　   　　　　〕</v>
      </c>
      <c r="G36" s="171">
        <v>1</v>
      </c>
      <c r="H36" s="175" t="str">
        <f>IF('For Data entry'!F65="✓","✓","□")</f>
        <v>□</v>
      </c>
      <c r="I36" s="210"/>
      <c r="J36" s="211"/>
      <c r="L36" s="182"/>
      <c r="M36" s="69" t="str">
        <f>IF('For Data entry'!C112="","〔　　　　　　　　　　　　　　　　   　　　　　　　　〕",'For Data entry'!C112)</f>
        <v>〔　　　　　　　　　　　　　　　　   　　　　　　　　〕</v>
      </c>
      <c r="N36" s="70" t="str">
        <f>IF('For Data entry'!D112="","（　　）",'For Data entry'!D112)</f>
        <v>（　　）</v>
      </c>
      <c r="O36" s="555" t="str">
        <f>IF('For Data entry'!G112="","□",'For Data entry'!G112)</f>
        <v>□</v>
      </c>
      <c r="P36" s="556" t="str">
        <f>IF(入力用!E120="","（　　）",入力用!E120)</f>
        <v>（　　）</v>
      </c>
      <c r="Q36" s="565" t="str">
        <f>IF('For Data entry'!H112="","□",'For Data entry'!H112)</f>
        <v>□</v>
      </c>
      <c r="R36" s="566" t="str">
        <f>IF(入力用!G120="","（　　）",入力用!G120)</f>
        <v>（　　）</v>
      </c>
      <c r="S36" s="87"/>
    </row>
    <row r="37" spans="2:19" ht="13.5" customHeight="1" x14ac:dyDescent="0.15">
      <c r="B37" s="207" t="str">
        <f>IF('For Data entry'!C60="","〔　　　　　　　 　　　　　　　　　　  　　　　〕",'For Data entry'!C60)</f>
        <v>〔　　　　　　　 　　　　　　　　　　  　　　　〕</v>
      </c>
      <c r="C37" s="208"/>
      <c r="D37" s="171">
        <v>1</v>
      </c>
      <c r="E37" s="172" t="str">
        <f>IF('For Data entry'!F60="✓","✓","□")</f>
        <v>□</v>
      </c>
      <c r="F37" s="209" t="str">
        <f>IF('For Data entry'!C66="","〔　　　　　　　　　　　　　　　　   　　　　〕",'For Data entry'!C66)</f>
        <v>〔　　　　　　　　　　　　　　　　   　　　　〕</v>
      </c>
      <c r="G37" s="171">
        <v>1</v>
      </c>
      <c r="H37" s="172" t="str">
        <f>IF('For Data entry'!F66="✓","✓","□")</f>
        <v>□</v>
      </c>
      <c r="I37" s="210"/>
      <c r="J37" s="211"/>
      <c r="L37" s="182"/>
      <c r="M37" s="71"/>
      <c r="N37" s="72"/>
      <c r="O37" s="73" t="s">
        <v>258</v>
      </c>
      <c r="P37" s="108"/>
      <c r="Q37" s="64" t="s">
        <v>259</v>
      </c>
      <c r="R37" s="65"/>
      <c r="S37" s="87"/>
    </row>
    <row r="38" spans="2:19" ht="13.5" customHeight="1" x14ac:dyDescent="0.15">
      <c r="B38" s="207" t="str">
        <f>IF('For Data entry'!C61="","〔　　　　　　　 　　　　　　　　　　  　　　　〕",'For Data entry'!C61)</f>
        <v>〔　　　　　　　 　　　　　　　　　　  　　　　〕</v>
      </c>
      <c r="C38" s="208"/>
      <c r="D38" s="146">
        <v>1</v>
      </c>
      <c r="E38" s="172" t="str">
        <f>IF('For Data entry'!F61="✓","✓","□")</f>
        <v>□</v>
      </c>
      <c r="F38" s="209" t="str">
        <f>IF('For Data entry'!C67="","〔　　　　　　　　　　　　　　　　   　　　　〕",'For Data entry'!C67)</f>
        <v>〔　　　　　　　　　　　　　　　　   　　　　〕</v>
      </c>
      <c r="G38" s="146">
        <v>1</v>
      </c>
      <c r="H38" s="172" t="str">
        <f>IF('For Data entry'!F67="✓","✓","□")</f>
        <v>□</v>
      </c>
      <c r="I38" s="212"/>
      <c r="J38" s="211"/>
      <c r="L38" s="182"/>
      <c r="M38" s="115"/>
      <c r="N38" s="116"/>
      <c r="O38" s="76"/>
      <c r="P38" s="77" t="s">
        <v>230</v>
      </c>
      <c r="Q38" s="78"/>
      <c r="R38" s="79" t="s">
        <v>230</v>
      </c>
      <c r="S38" s="87"/>
    </row>
    <row r="39" spans="2:19" ht="14.25" customHeight="1" thickBot="1" x14ac:dyDescent="0.2">
      <c r="B39" s="207" t="str">
        <f>IF('For Data entry'!C62="","〔　　　　　　　 　　　　　　　　　　  　　　　〕",'For Data entry'!C62)</f>
        <v>〔　　　　　　　 　　　　　　　　　　  　　　　〕</v>
      </c>
      <c r="C39" s="195"/>
      <c r="D39" s="198">
        <v>1</v>
      </c>
      <c r="E39" s="213" t="str">
        <f>IF('For Data entry'!F62="✓","✓","□")</f>
        <v>□</v>
      </c>
      <c r="F39" s="214" t="str">
        <f>IF('For Data entry'!C68="","〔　　　　　　　　　　　　　　　　   　　　　〕",'For Data entry'!C68)</f>
        <v>〔　　　　　　　　　　　　　　　　   　　　　〕</v>
      </c>
      <c r="G39" s="198">
        <v>1</v>
      </c>
      <c r="H39" s="213" t="str">
        <f>IF('For Data entry'!F68="✓","✓","□")</f>
        <v>□</v>
      </c>
      <c r="I39" s="200" t="s">
        <v>230</v>
      </c>
      <c r="J39" s="201" t="s">
        <v>277</v>
      </c>
      <c r="L39" s="182"/>
      <c r="M39" s="87"/>
      <c r="N39" s="87"/>
      <c r="O39" s="87"/>
      <c r="P39" s="87"/>
      <c r="Q39" s="87"/>
      <c r="R39" s="87"/>
      <c r="S39" s="87"/>
    </row>
    <row r="40" spans="2:19" ht="13.5" customHeight="1" x14ac:dyDescent="0.15">
      <c r="B40" s="215" t="s">
        <v>441</v>
      </c>
      <c r="C40" s="216"/>
      <c r="D40" s="217"/>
      <c r="E40" s="216"/>
      <c r="F40" s="217"/>
      <c r="G40" s="216"/>
      <c r="H40" s="216"/>
      <c r="I40" s="612" t="str">
        <f>IF('For Data entry'!C7="","（　　　         　　　　）",'For Data entry'!C7)</f>
        <v>（　　　         　　　　）</v>
      </c>
      <c r="J40" s="546" t="str">
        <f>IF(入力用!G7="","（　　　         　　　　語）",入力用!G7)</f>
        <v>（　　　         　　　　語）</v>
      </c>
      <c r="L40" s="218"/>
      <c r="M40" s="219"/>
      <c r="N40" s="219"/>
      <c r="O40" s="219"/>
      <c r="P40" s="219"/>
      <c r="Q40" s="219"/>
      <c r="R40" s="219"/>
      <c r="S40" s="219"/>
    </row>
    <row r="41" spans="2:19" ht="14.25" customHeight="1" x14ac:dyDescent="0.15">
      <c r="B41" s="220" t="str">
        <f>IF('For Data entry'!C70="","〔　　　　　　　 　　　　　　　　　　  　　　　〕",'For Data entry'!C70)</f>
        <v>〔　　　　　　　 　　　　　　　　　　  　　　　〕</v>
      </c>
      <c r="C41" s="203"/>
      <c r="D41" s="221" t="str">
        <f>IF('For Data entry'!D70="","（　　）",'For Data entry'!D70)</f>
        <v>（　　）</v>
      </c>
      <c r="E41" s="222" t="str">
        <f>IF('For Data entry'!F70="✓","✓","□")</f>
        <v>□</v>
      </c>
      <c r="F41" s="204" t="str">
        <f>IF('For Data entry'!C72="","〔　　　　　　　　　　　　　　　　   　　　　〕",'For Data entry'!C72)</f>
        <v>〔　　　　　　　　　　　　　　　　   　　　　〕</v>
      </c>
      <c r="G41" s="221" t="str">
        <f>IF('For Data entry'!D72="","（　　）",'For Data entry'!D72)</f>
        <v>（　　）</v>
      </c>
      <c r="H41" s="222" t="str">
        <f>IF('For Data entry'!F72="✓","✓","□")</f>
        <v>□</v>
      </c>
      <c r="I41" s="223"/>
      <c r="J41" s="224"/>
      <c r="L41" s="218"/>
      <c r="M41" s="219"/>
      <c r="N41" s="219"/>
      <c r="O41" s="219"/>
      <c r="P41" s="219"/>
      <c r="Q41" s="219"/>
      <c r="R41" s="219"/>
      <c r="S41" s="219"/>
    </row>
    <row r="42" spans="2:19" ht="15" customHeight="1" thickBot="1" x14ac:dyDescent="0.2">
      <c r="B42" s="220" t="str">
        <f>IF('For Data entry'!C71="","〔　　　　　　　 　　　　　　　　　　  　　　　〕",'For Data entry'!C71)</f>
        <v>〔　　　　　　　 　　　　　　　　　　  　　　　〕</v>
      </c>
      <c r="C42" s="225"/>
      <c r="D42" s="118" t="str">
        <f>IF('For Data entry'!D71="","（　　）",'For Data entry'!D71)</f>
        <v>（　　）</v>
      </c>
      <c r="E42" s="133" t="str">
        <f>IF('For Data entry'!F71="✓","✓","□")</f>
        <v>□</v>
      </c>
      <c r="F42" s="117" t="str">
        <f>IF('For Data entry'!C73="","〔　　　　　　　　　　　　　　　　   　　　　〕",'For Data entry'!C73)</f>
        <v>〔　　　　　　　　　　　　　　　　   　　　　〕</v>
      </c>
      <c r="G42" s="118" t="str">
        <f>IF('For Data entry'!D73="","（　　）",'For Data entry'!D73)</f>
        <v>（　　）</v>
      </c>
      <c r="H42" s="133" t="str">
        <f>IF('For Data entry'!F73="✓","✓","□")</f>
        <v>□</v>
      </c>
      <c r="I42" s="226" t="s">
        <v>230</v>
      </c>
      <c r="J42" s="227" t="s">
        <v>278</v>
      </c>
      <c r="L42" s="218"/>
      <c r="M42" s="228"/>
      <c r="N42" s="219"/>
      <c r="O42" s="219"/>
      <c r="P42" s="219"/>
      <c r="Q42" s="219"/>
      <c r="R42" s="219"/>
      <c r="S42" s="219"/>
    </row>
    <row r="43" spans="2:19" ht="15" customHeight="1" x14ac:dyDescent="0.15">
      <c r="B43" s="136" t="s">
        <v>414</v>
      </c>
      <c r="C43" s="229"/>
      <c r="D43" s="230"/>
      <c r="E43" s="230"/>
      <c r="F43" s="231"/>
      <c r="G43" s="232"/>
      <c r="H43" s="233"/>
      <c r="I43" s="142" t="s">
        <v>260</v>
      </c>
      <c r="J43" s="143"/>
      <c r="L43" s="218"/>
      <c r="M43" s="613"/>
      <c r="N43" s="613"/>
      <c r="O43" s="234"/>
      <c r="P43" s="234"/>
      <c r="Q43" s="596"/>
      <c r="R43" s="596"/>
      <c r="S43" s="219"/>
    </row>
    <row r="44" spans="2:19" ht="15" customHeight="1" x14ac:dyDescent="0.15">
      <c r="B44" s="235" t="str">
        <f>IF('For Data entry'!C75="","〔　　　　　　　 　　　　　　　　　　  　　　　〕",'For Data entry'!C75)</f>
        <v>〔　　　　　　　 　　　　　　　　　　  　　　　〕</v>
      </c>
      <c r="C44" s="236"/>
      <c r="D44" s="237" t="str">
        <f>IF('For Data entry'!D75="","（　　）",'For Data entry'!D75)</f>
        <v>（　　）</v>
      </c>
      <c r="E44" s="238" t="str">
        <f>IF('For Data entry'!F75="✓","✓","□")</f>
        <v>□</v>
      </c>
      <c r="F44" s="239" t="str">
        <f>IF('For Data entry'!C77="","〔　　　　　　　　　　　　　　　　   　　　　〕",'For Data entry'!C77)</f>
        <v>〔　　　　　　　　　　　　　　　　   　　　　〕</v>
      </c>
      <c r="G44" s="237" t="str">
        <f>IF('For Data entry'!D77="","（　　）",'For Data entry'!D77)</f>
        <v>（　　）</v>
      </c>
      <c r="H44" s="238" t="str">
        <f>IF('For Data entry'!F77="✓","✓","□")</f>
        <v>□</v>
      </c>
      <c r="I44" s="151"/>
      <c r="J44" s="152"/>
      <c r="L44" s="218"/>
      <c r="M44" s="613"/>
      <c r="N44" s="613"/>
      <c r="O44" s="234"/>
      <c r="P44" s="234"/>
      <c r="Q44" s="596"/>
      <c r="R44" s="596"/>
      <c r="S44" s="219"/>
    </row>
    <row r="45" spans="2:19" ht="15" customHeight="1" x14ac:dyDescent="0.15">
      <c r="B45" s="240" t="str">
        <f>IF('For Data entry'!C76="","〔　　　　　　　 　　　　　　　　　　  　　　　〕",'For Data entry'!C76)</f>
        <v>〔　　　　　　　 　　　　　　　　　　  　　　　〕</v>
      </c>
      <c r="C45" s="241"/>
      <c r="D45" s="242" t="str">
        <f>IF('For Data entry'!D76="","（　　）",'For Data entry'!D76)</f>
        <v>（　　）</v>
      </c>
      <c r="E45" s="243" t="str">
        <f>IF('For Data entry'!F76="✓","✓","□")</f>
        <v>□</v>
      </c>
      <c r="F45" s="244" t="str">
        <f>IF('For Data entry'!C78="","〔　　　　　　　　　　　　　　　　   　　　　〕",'For Data entry'!C78)</f>
        <v>〔　　　　　　　　　　　　　　　　   　　　　〕</v>
      </c>
      <c r="G45" s="242" t="str">
        <f>IF('For Data entry'!D78="","（　　）",'For Data entry'!D78)</f>
        <v>（　　）</v>
      </c>
      <c r="H45" s="243" t="str">
        <f>IF('For Data entry'!F78="✓","✓","□")</f>
        <v>□</v>
      </c>
      <c r="I45" s="245"/>
      <c r="J45" s="246" t="s">
        <v>230</v>
      </c>
      <c r="L45" s="218"/>
      <c r="M45" s="613"/>
      <c r="N45" s="613"/>
      <c r="O45" s="234"/>
      <c r="P45" s="234"/>
      <c r="Q45" s="596"/>
      <c r="R45" s="596"/>
      <c r="S45" s="219"/>
    </row>
    <row r="46" spans="2:19" ht="14.25" customHeight="1" x14ac:dyDescent="0.15">
      <c r="B46" s="247" t="s">
        <v>446</v>
      </c>
      <c r="C46" s="160"/>
      <c r="D46" s="248"/>
      <c r="E46" s="248"/>
      <c r="F46" s="160"/>
      <c r="G46" s="248"/>
      <c r="H46" s="249"/>
      <c r="I46" s="250" t="s">
        <v>261</v>
      </c>
      <c r="J46" s="251"/>
      <c r="L46" s="218"/>
      <c r="M46" s="613"/>
      <c r="N46" s="613"/>
      <c r="O46" s="234"/>
      <c r="P46" s="234"/>
      <c r="Q46" s="596"/>
      <c r="R46" s="596"/>
      <c r="S46" s="219"/>
    </row>
    <row r="47" spans="2:19" ht="13.5" customHeight="1" x14ac:dyDescent="0.15">
      <c r="B47" s="252" t="str">
        <f>IF('For Data entry'!C80="","〔　　　　　　　 　　　　　　　　　　  　　　　〕",'For Data entry'!C80)</f>
        <v>〔　　　　　　　 　　　　　　　　　　  　　　　〕</v>
      </c>
      <c r="C47" s="253"/>
      <c r="D47" s="254" t="str">
        <f>IF('For Data entry'!D80="","（　　）",'For Data entry'!D80)</f>
        <v>（　　）</v>
      </c>
      <c r="E47" s="255" t="str">
        <f>IF('For Data entry'!F80="✓","✓","□")</f>
        <v>□</v>
      </c>
      <c r="F47" s="256" t="str">
        <f>IF('For Data entry'!C81="","〔　　　　　　　　　　　　　　　　   　　　　〕",'For Data entry'!C81)</f>
        <v>〔　　　　　　　　　　　　　　　　   　　　　〕</v>
      </c>
      <c r="G47" s="254" t="str">
        <f>IF('For Data entry'!D81="","（　　）",'For Data entry'!D81)</f>
        <v>（　　）</v>
      </c>
      <c r="H47" s="255" t="str">
        <f>IF('For Data entry'!F81="✓","✓","□")</f>
        <v>□</v>
      </c>
      <c r="I47" s="78"/>
      <c r="J47" s="257" t="s">
        <v>230</v>
      </c>
      <c r="L47" s="218"/>
      <c r="M47" s="219"/>
      <c r="N47" s="219"/>
      <c r="O47" s="219"/>
      <c r="P47" s="219"/>
      <c r="Q47" s="219"/>
      <c r="R47" s="219"/>
      <c r="S47" s="219"/>
    </row>
    <row r="48" spans="2:19" ht="13.5" customHeight="1" x14ac:dyDescent="0.15">
      <c r="L48" s="218"/>
      <c r="M48" s="228"/>
      <c r="N48" s="219"/>
      <c r="O48" s="219"/>
      <c r="P48" s="219"/>
      <c r="Q48" s="219"/>
      <c r="R48" s="219"/>
      <c r="S48" s="258"/>
    </row>
    <row r="49" spans="2:19" ht="15" customHeight="1" thickBot="1" x14ac:dyDescent="0.2">
      <c r="B49" s="94" t="s">
        <v>432</v>
      </c>
      <c r="C49" s="47"/>
      <c r="D49" s="47"/>
      <c r="E49" s="47"/>
      <c r="L49" s="218"/>
      <c r="M49" s="597"/>
      <c r="N49" s="597"/>
      <c r="O49" s="234"/>
      <c r="P49" s="234"/>
      <c r="Q49" s="596"/>
      <c r="R49" s="596"/>
      <c r="S49" s="258"/>
    </row>
    <row r="50" spans="2:19" ht="14.25" customHeight="1" thickBot="1" x14ac:dyDescent="0.2">
      <c r="B50" s="259" t="s">
        <v>436</v>
      </c>
      <c r="C50" s="260"/>
      <c r="D50" s="261"/>
      <c r="E50" s="261"/>
      <c r="F50" s="261"/>
      <c r="G50" s="262">
        <v>1</v>
      </c>
      <c r="H50" s="263" t="str">
        <f>IF('For Data entry'!F82="✓","✓","□")</f>
        <v>□</v>
      </c>
      <c r="I50" s="98"/>
      <c r="J50" s="264" t="s">
        <v>443</v>
      </c>
      <c r="L50" s="218"/>
      <c r="M50" s="597"/>
      <c r="N50" s="597"/>
      <c r="O50" s="234"/>
      <c r="P50" s="234"/>
      <c r="Q50" s="596"/>
      <c r="R50" s="596"/>
      <c r="S50" s="258"/>
    </row>
    <row r="51" spans="2:19" ht="14.25" customHeight="1" x14ac:dyDescent="0.15">
      <c r="L51" s="218"/>
      <c r="M51" s="597"/>
      <c r="N51" s="597"/>
      <c r="O51" s="234"/>
      <c r="P51" s="234"/>
      <c r="Q51" s="596"/>
      <c r="R51" s="596"/>
      <c r="S51" s="219"/>
    </row>
    <row r="52" spans="2:19" ht="13.5" customHeight="1" thickBot="1" x14ac:dyDescent="0.2">
      <c r="B52" s="94" t="s">
        <v>437</v>
      </c>
      <c r="L52" s="218"/>
      <c r="M52" s="597"/>
      <c r="N52" s="597"/>
      <c r="O52" s="234"/>
      <c r="P52" s="234"/>
      <c r="Q52" s="596"/>
      <c r="R52" s="596"/>
      <c r="S52" s="219"/>
    </row>
    <row r="53" spans="2:19" ht="15" customHeight="1" thickBot="1" x14ac:dyDescent="0.2">
      <c r="B53" s="265" t="s">
        <v>281</v>
      </c>
      <c r="C53" s="266"/>
      <c r="D53" s="261"/>
      <c r="E53" s="261"/>
      <c r="F53" s="267"/>
      <c r="G53" s="262">
        <v>1</v>
      </c>
      <c r="H53" s="263" t="str">
        <f>IF('For Data entry'!F83="✓","✓","□")</f>
        <v>□</v>
      </c>
      <c r="I53" s="98"/>
      <c r="J53" s="264" t="s">
        <v>443</v>
      </c>
      <c r="L53" s="218"/>
      <c r="M53" s="219"/>
      <c r="N53" s="219"/>
      <c r="O53" s="219"/>
      <c r="P53" s="219" t="s">
        <v>287</v>
      </c>
      <c r="Q53" s="219"/>
      <c r="R53" s="219"/>
      <c r="S53" s="219"/>
    </row>
    <row r="54" spans="2:19" ht="14.25" customHeight="1" x14ac:dyDescent="0.15">
      <c r="B54" s="268" t="s">
        <v>415</v>
      </c>
      <c r="C54" s="91"/>
      <c r="D54" s="91"/>
      <c r="E54" s="91"/>
      <c r="F54" s="231"/>
      <c r="G54" s="232"/>
      <c r="H54" s="105"/>
      <c r="I54" s="269" t="s">
        <v>262</v>
      </c>
      <c r="J54" s="270"/>
      <c r="L54" s="218"/>
      <c r="M54" s="219"/>
      <c r="N54" s="219"/>
      <c r="O54" s="219"/>
      <c r="P54" s="219"/>
      <c r="Q54" s="219"/>
      <c r="R54" s="219"/>
      <c r="S54" s="219"/>
    </row>
    <row r="55" spans="2:19" ht="13.5" customHeight="1" x14ac:dyDescent="0.15">
      <c r="B55" s="271" t="str">
        <f>IF('For Data entry'!C84="","〔　　　　　　　 　　　　　　　　　　  　　　　〕",'For Data entry'!C84)</f>
        <v>〔　　　　　　　 　　　　　　　　　　  　　　　〕</v>
      </c>
      <c r="C55" s="272"/>
      <c r="D55" s="112" t="str">
        <f>IF('For Data entry'!D84="","（　　）",'For Data entry'!D84)</f>
        <v>（　　）</v>
      </c>
      <c r="E55" s="273" t="str">
        <f>IF('For Data entry'!F84="✓","✓","□")</f>
        <v>□</v>
      </c>
      <c r="F55" s="109" t="str">
        <f>IF('For Data entry'!C86="","〔　　　　　　　　　　　　　　　　   　　　　〕",'For Data entry'!C86)</f>
        <v>〔　　　　　　　　　　　　　　　　   　　　　〕</v>
      </c>
      <c r="G55" s="112" t="str">
        <f>IF('For Data entry'!D86="","（　　）",'For Data entry'!D86)</f>
        <v>（　　）</v>
      </c>
      <c r="H55" s="273" t="str">
        <f>IF('For Data entry'!F86="✓","✓","□")</f>
        <v>□</v>
      </c>
      <c r="I55" s="274"/>
      <c r="J55" s="275"/>
      <c r="L55" s="218"/>
      <c r="M55" s="219"/>
      <c r="N55" s="219"/>
      <c r="O55" s="219"/>
      <c r="P55" s="219"/>
      <c r="Q55" s="219"/>
      <c r="R55" s="219"/>
      <c r="S55" s="219"/>
    </row>
    <row r="56" spans="2:19" ht="13.5" customHeight="1" x14ac:dyDescent="0.15">
      <c r="B56" s="252" t="str">
        <f>IF('For Data entry'!C85="","〔　　　　　　　 　　　　　　　　　　  　　　　〕",'For Data entry'!C85)</f>
        <v>〔　　　　　　　 　　　　　　　　　　  　　　　〕</v>
      </c>
      <c r="C56" s="253"/>
      <c r="D56" s="254" t="str">
        <f>IF('For Data entry'!D85="","（　　）",'For Data entry'!D85)</f>
        <v>（　　）</v>
      </c>
      <c r="E56" s="276" t="str">
        <f>IF('For Data entry'!F85="✓","✓","□")</f>
        <v>□</v>
      </c>
      <c r="F56" s="256" t="str">
        <f>IF('For Data entry'!C87="","〔　　　　　　　　　　　　　　　　   　　　　〕",'For Data entry'!C87)</f>
        <v>〔　　　　　　　　　　　　　　　　   　　　　〕</v>
      </c>
      <c r="G56" s="254" t="str">
        <f>IF('For Data entry'!D87="","（　　）",'For Data entry'!D87)</f>
        <v>（　　）</v>
      </c>
      <c r="H56" s="276" t="str">
        <f>IF('For Data entry'!F87="✓","✓","□")</f>
        <v>□</v>
      </c>
      <c r="I56" s="277"/>
      <c r="J56" s="278" t="s">
        <v>230</v>
      </c>
      <c r="L56" s="218"/>
      <c r="M56" s="219"/>
      <c r="N56" s="219"/>
      <c r="O56" s="219"/>
      <c r="P56" s="219"/>
      <c r="Q56" s="219"/>
      <c r="R56" s="219"/>
      <c r="S56" s="219"/>
    </row>
    <row r="57" spans="2:19" ht="13.5" customHeight="1" x14ac:dyDescent="0.15">
      <c r="L57" s="218"/>
      <c r="M57" s="219"/>
      <c r="N57" s="219"/>
      <c r="O57" s="219"/>
      <c r="P57" s="219"/>
      <c r="Q57" s="219"/>
      <c r="R57" s="219"/>
      <c r="S57" s="219"/>
    </row>
    <row r="58" spans="2:19" x14ac:dyDescent="0.15">
      <c r="M58" s="87"/>
      <c r="N58" s="87"/>
      <c r="O58" s="87"/>
      <c r="P58" s="87"/>
      <c r="Q58" s="87"/>
      <c r="R58" s="87"/>
      <c r="S58" s="87"/>
    </row>
    <row r="59" spans="2:19" ht="13.5" customHeight="1" x14ac:dyDescent="0.15">
      <c r="S59" s="87"/>
    </row>
    <row r="60" spans="2:19" ht="15.95" customHeight="1" x14ac:dyDescent="0.15">
      <c r="B60" s="279" t="s">
        <v>274</v>
      </c>
      <c r="S60" s="87"/>
    </row>
    <row r="61" spans="2:19" ht="15.95" customHeight="1" x14ac:dyDescent="0.15">
      <c r="B61" s="280" t="s">
        <v>221</v>
      </c>
      <c r="S61" s="87"/>
    </row>
    <row r="62" spans="2:19" ht="8.1" customHeight="1" x14ac:dyDescent="0.15">
      <c r="S62" s="87"/>
    </row>
    <row r="63" spans="2:19" ht="14.25" x14ac:dyDescent="0.15">
      <c r="B63" s="93" t="s">
        <v>284</v>
      </c>
      <c r="S63" s="87"/>
    </row>
    <row r="64" spans="2:19" ht="14.25" thickBot="1" x14ac:dyDescent="0.2">
      <c r="B64" s="95" t="s">
        <v>301</v>
      </c>
      <c r="C64" s="95"/>
      <c r="D64" s="95"/>
      <c r="E64" s="95"/>
      <c r="F64" s="281"/>
      <c r="G64" s="281"/>
      <c r="H64" s="281"/>
      <c r="I64" s="100"/>
      <c r="J64" s="95"/>
      <c r="K64" s="95"/>
      <c r="M64" s="95" t="s">
        <v>307</v>
      </c>
      <c r="N64" s="87"/>
      <c r="O64" s="87"/>
      <c r="P64" s="87"/>
      <c r="Q64" s="87"/>
      <c r="R64" s="87"/>
      <c r="S64" s="87"/>
    </row>
    <row r="65" spans="2:19" ht="13.5" customHeight="1" x14ac:dyDescent="0.15">
      <c r="B65" s="282" t="s">
        <v>288</v>
      </c>
      <c r="C65" s="283"/>
      <c r="D65" s="284">
        <v>1</v>
      </c>
      <c r="E65" s="285" t="str">
        <f>IF('For Data entry'!F117="✓","✓","□")</f>
        <v>□</v>
      </c>
      <c r="F65" s="286" t="s">
        <v>292</v>
      </c>
      <c r="G65" s="284">
        <v>1</v>
      </c>
      <c r="H65" s="287" t="str">
        <f>IF('For Data entry'!F121="✓","✓","□")</f>
        <v>□</v>
      </c>
      <c r="I65" s="288"/>
      <c r="J65" s="289"/>
      <c r="K65" s="290"/>
      <c r="M65" s="525" t="s">
        <v>15</v>
      </c>
      <c r="N65" s="526"/>
      <c r="O65" s="440"/>
      <c r="P65" s="533"/>
      <c r="Q65" s="535" t="s">
        <v>230</v>
      </c>
      <c r="R65" s="537" t="s">
        <v>326</v>
      </c>
      <c r="S65" s="87"/>
    </row>
    <row r="66" spans="2:19" ht="14.25" customHeight="1" thickBot="1" x14ac:dyDescent="0.2">
      <c r="B66" s="291" t="s">
        <v>289</v>
      </c>
      <c r="C66" s="292"/>
      <c r="D66" s="293">
        <v>1</v>
      </c>
      <c r="E66" s="294" t="str">
        <f>IF('For Data entry'!F118="✓","✓","□")</f>
        <v>□</v>
      </c>
      <c r="F66" s="281" t="s">
        <v>293</v>
      </c>
      <c r="G66" s="293">
        <v>1</v>
      </c>
      <c r="H66" s="295" t="str">
        <f>IF('For Data entry'!F122="✓","✓","□")</f>
        <v>□</v>
      </c>
      <c r="I66" s="296"/>
      <c r="J66" s="297"/>
      <c r="K66" s="298"/>
      <c r="M66" s="527"/>
      <c r="N66" s="528"/>
      <c r="O66" s="441"/>
      <c r="P66" s="534"/>
      <c r="Q66" s="536"/>
      <c r="R66" s="538"/>
      <c r="S66" s="87"/>
    </row>
    <row r="67" spans="2:19" ht="14.25" customHeight="1" x14ac:dyDescent="0.15">
      <c r="B67" s="291" t="s">
        <v>290</v>
      </c>
      <c r="C67" s="292"/>
      <c r="D67" s="293">
        <v>1</v>
      </c>
      <c r="E67" s="294" t="str">
        <f>IF('For Data entry'!F119="✓","✓","□")</f>
        <v>□</v>
      </c>
      <c r="F67" s="281" t="s">
        <v>294</v>
      </c>
      <c r="G67" s="293">
        <v>1</v>
      </c>
      <c r="H67" s="295" t="str">
        <f>IF('For Data entry'!F123="✓","✓","□")</f>
        <v>□</v>
      </c>
      <c r="I67" s="299"/>
      <c r="J67" s="300"/>
      <c r="K67" s="301"/>
      <c r="S67" s="87"/>
    </row>
    <row r="68" spans="2:19" ht="14.25" customHeight="1" thickBot="1" x14ac:dyDescent="0.2">
      <c r="B68" s="302" t="s">
        <v>291</v>
      </c>
      <c r="C68" s="303"/>
      <c r="D68" s="304">
        <v>1</v>
      </c>
      <c r="E68" s="305" t="str">
        <f>IF('For Data entry'!F120="✓","✓","□")</f>
        <v>□</v>
      </c>
      <c r="F68" s="306"/>
      <c r="G68" s="307"/>
      <c r="H68" s="308"/>
      <c r="I68" s="309" t="s">
        <v>230</v>
      </c>
      <c r="J68" s="310" t="s">
        <v>325</v>
      </c>
      <c r="K68" s="311"/>
      <c r="M68" s="95" t="s">
        <v>308</v>
      </c>
      <c r="N68" s="87"/>
      <c r="O68" s="87"/>
      <c r="P68" s="87"/>
      <c r="Q68" s="87"/>
      <c r="R68" s="87"/>
      <c r="S68" s="87"/>
    </row>
    <row r="69" spans="2:19" ht="14.25" customHeight="1" x14ac:dyDescent="0.15">
      <c r="M69" s="529" t="s">
        <v>31</v>
      </c>
      <c r="N69" s="530"/>
      <c r="O69" s="312"/>
      <c r="P69" s="539"/>
      <c r="Q69" s="541" t="s">
        <v>230</v>
      </c>
      <c r="R69" s="543" t="s">
        <v>327</v>
      </c>
      <c r="S69" s="87"/>
    </row>
    <row r="70" spans="2:19" ht="14.25" thickBot="1" x14ac:dyDescent="0.2">
      <c r="B70" s="95" t="s">
        <v>300</v>
      </c>
      <c r="C70" s="95"/>
      <c r="D70" s="95"/>
      <c r="E70" s="95"/>
      <c r="F70" s="281"/>
      <c r="G70" s="281"/>
      <c r="H70" s="281"/>
      <c r="I70" s="100"/>
      <c r="J70" s="100"/>
      <c r="K70" s="100"/>
      <c r="L70" s="281"/>
      <c r="M70" s="531"/>
      <c r="N70" s="532"/>
      <c r="O70" s="313"/>
      <c r="P70" s="540"/>
      <c r="Q70" s="542"/>
      <c r="R70" s="544"/>
      <c r="S70" s="87"/>
    </row>
    <row r="71" spans="2:19" ht="13.5" customHeight="1" x14ac:dyDescent="0.15">
      <c r="B71" s="314" t="s">
        <v>309</v>
      </c>
      <c r="C71" s="314"/>
      <c r="D71" s="315"/>
      <c r="E71" s="315"/>
      <c r="F71" s="315"/>
      <c r="G71" s="315"/>
      <c r="H71" s="316" t="str">
        <f>IF('For Data entry'!F125="✓","✓","□")</f>
        <v>□</v>
      </c>
      <c r="I71" s="317"/>
      <c r="J71" s="318"/>
      <c r="K71" s="319"/>
      <c r="S71" s="87"/>
    </row>
    <row r="72" spans="2:19" ht="13.5" customHeight="1" thickBot="1" x14ac:dyDescent="0.2">
      <c r="B72" s="320"/>
      <c r="C72" s="321" t="s">
        <v>421</v>
      </c>
      <c r="D72" s="322"/>
      <c r="E72" s="323"/>
      <c r="F72" s="324"/>
      <c r="G72" s="325" t="str">
        <f>IF('For Data entry'!C9="","",'For Data entry'!C9)</f>
        <v/>
      </c>
      <c r="H72" s="326" t="s">
        <v>296</v>
      </c>
      <c r="I72" s="327" t="s">
        <v>230</v>
      </c>
      <c r="J72" s="328" t="s">
        <v>276</v>
      </c>
      <c r="K72" s="114"/>
      <c r="S72" s="87"/>
    </row>
    <row r="73" spans="2:19" ht="13.5" customHeight="1" thickTop="1" thickBot="1" x14ac:dyDescent="0.2">
      <c r="B73" s="329" t="s">
        <v>411</v>
      </c>
      <c r="C73" s="330"/>
      <c r="D73" s="330"/>
      <c r="E73" s="330"/>
      <c r="F73" s="331"/>
      <c r="G73" s="331"/>
      <c r="H73" s="332"/>
      <c r="I73" s="205"/>
      <c r="J73" s="333"/>
      <c r="K73" s="168"/>
      <c r="M73" s="608" t="s">
        <v>285</v>
      </c>
      <c r="N73" s="609"/>
      <c r="O73" s="577"/>
      <c r="P73" s="578"/>
      <c r="Q73" s="581" t="s">
        <v>230</v>
      </c>
      <c r="R73" s="582"/>
      <c r="S73" s="87"/>
    </row>
    <row r="74" spans="2:19" ht="13.5" customHeight="1" thickTop="1" thickBot="1" x14ac:dyDescent="0.2">
      <c r="B74" s="334" t="str">
        <f>IF('For Data entry'!C127="","〔　　　　　　　 　　　　　　　　　　  　　　　〕",'For Data entry'!C127)</f>
        <v>〔　　　　　　　 　　　　　　　　　　  　　　　〕</v>
      </c>
      <c r="C74" s="335"/>
      <c r="D74" s="336">
        <v>1</v>
      </c>
      <c r="E74" s="337" t="str">
        <f>IF('For Data entry'!F127="✓","✓","□")</f>
        <v>□</v>
      </c>
      <c r="F74" s="338" t="str">
        <f>IF('For Data entry'!C128="","〔　　　　　　　　　　　　　　　　   　　　　〕",'For Data entry'!C128)</f>
        <v>〔　　　　　　　　　　　　　　　　   　　　　〕</v>
      </c>
      <c r="G74" s="336">
        <v>1</v>
      </c>
      <c r="H74" s="339" t="str">
        <f>IF('For Data entry'!F128="✓","✓","□")</f>
        <v>□</v>
      </c>
      <c r="I74" s="340" t="s">
        <v>230</v>
      </c>
      <c r="J74" s="341" t="s">
        <v>276</v>
      </c>
      <c r="K74" s="114"/>
      <c r="M74" s="610"/>
      <c r="N74" s="611"/>
      <c r="O74" s="579"/>
      <c r="P74" s="580"/>
      <c r="Q74" s="581"/>
      <c r="R74" s="582"/>
      <c r="S74" s="87"/>
    </row>
    <row r="75" spans="2:19" ht="13.5" customHeight="1" thickTop="1" thickBot="1" x14ac:dyDescent="0.2">
      <c r="B75" s="329" t="s">
        <v>412</v>
      </c>
      <c r="C75" s="330"/>
      <c r="D75" s="330"/>
      <c r="E75" s="330"/>
      <c r="F75" s="331"/>
      <c r="G75" s="331"/>
      <c r="H75" s="342"/>
      <c r="I75" s="343"/>
      <c r="J75" s="344"/>
      <c r="K75" s="114"/>
      <c r="M75" s="598" t="s">
        <v>286</v>
      </c>
      <c r="N75" s="599"/>
      <c r="O75" s="577"/>
      <c r="P75" s="578"/>
      <c r="Q75" s="581" t="s">
        <v>230</v>
      </c>
      <c r="R75" s="582"/>
      <c r="S75" s="87"/>
    </row>
    <row r="76" spans="2:19" ht="15" thickTop="1" thickBot="1" x14ac:dyDescent="0.2">
      <c r="B76" s="334" t="str">
        <f>IF('For Data entry'!C130="","〔　　　　　　　 　　　　　　　　　　  　　　　〕",'For Data entry'!C130)</f>
        <v>〔　　　　　　　 　　　　　　　　　　  　　　　〕</v>
      </c>
      <c r="C76" s="335"/>
      <c r="D76" s="336">
        <v>1</v>
      </c>
      <c r="E76" s="337" t="str">
        <f>IF('For Data entry'!F130="✓","✓","□")</f>
        <v>□</v>
      </c>
      <c r="F76" s="338" t="str">
        <f>IF('For Data entry'!C131="","〔　　　　　　　　　　　　　　　　   　　　　〕",'For Data entry'!C131)</f>
        <v>〔　　　　　　　　　　　　　　　　   　　　　〕</v>
      </c>
      <c r="G76" s="336">
        <v>1</v>
      </c>
      <c r="H76" s="339" t="str">
        <f>IF('For Data entry'!F131="✓","✓","□")</f>
        <v>□</v>
      </c>
      <c r="I76" s="340" t="s">
        <v>230</v>
      </c>
      <c r="J76" s="341" t="s">
        <v>276</v>
      </c>
      <c r="K76" s="114"/>
      <c r="M76" s="600"/>
      <c r="N76" s="601"/>
      <c r="O76" s="579"/>
      <c r="P76" s="580"/>
      <c r="Q76" s="581"/>
      <c r="R76" s="582"/>
      <c r="S76" s="44"/>
    </row>
    <row r="77" spans="2:19" ht="13.5" customHeight="1" thickTop="1" x14ac:dyDescent="0.15">
      <c r="B77" s="329" t="s">
        <v>413</v>
      </c>
      <c r="C77" s="330"/>
      <c r="D77" s="330"/>
      <c r="E77" s="330"/>
      <c r="F77" s="331"/>
      <c r="G77" s="331"/>
      <c r="H77" s="342"/>
      <c r="I77" s="343"/>
      <c r="J77" s="344"/>
      <c r="K77" s="114"/>
      <c r="S77" s="44"/>
    </row>
    <row r="78" spans="2:19" ht="13.5" customHeight="1" x14ac:dyDescent="0.15">
      <c r="B78" s="334" t="str">
        <f>IF('For Data entry'!C133="","〔　　　　　　　 　　　　　　　　　　  　　　　〕",'For Data entry'!C133)</f>
        <v>〔　　　　　　　 　　　　　　　　　　  　　　　〕</v>
      </c>
      <c r="C78" s="335"/>
      <c r="D78" s="336">
        <v>1</v>
      </c>
      <c r="E78" s="337" t="str">
        <f>IF('For Data entry'!F133="✓","✓","□")</f>
        <v>□</v>
      </c>
      <c r="F78" s="338" t="str">
        <f>IF('For Data entry'!C134="","〔　　　　　　　　　　　　　　　　   　　　　〕",'For Data entry'!C134)</f>
        <v>〔　　　　　　　　　　　　　　　　   　　　　〕</v>
      </c>
      <c r="G78" s="336">
        <v>1</v>
      </c>
      <c r="H78" s="339" t="str">
        <f>IF('For Data entry'!F134="✓","✓","□")</f>
        <v>□</v>
      </c>
      <c r="I78" s="340" t="s">
        <v>230</v>
      </c>
      <c r="J78" s="341" t="s">
        <v>276</v>
      </c>
      <c r="K78" s="114"/>
      <c r="S78" s="44"/>
    </row>
    <row r="79" spans="2:19" ht="13.5" customHeight="1" x14ac:dyDescent="0.15">
      <c r="B79" s="345" t="s">
        <v>438</v>
      </c>
      <c r="C79" s="346"/>
      <c r="D79" s="87"/>
      <c r="E79" s="347"/>
      <c r="F79" s="347"/>
      <c r="G79" s="347"/>
      <c r="H79" s="347"/>
      <c r="I79" s="343"/>
      <c r="J79" s="348"/>
      <c r="K79" s="114"/>
      <c r="S79" s="87"/>
    </row>
    <row r="80" spans="2:19" ht="14.25" thickBot="1" x14ac:dyDescent="0.2">
      <c r="B80" s="349" t="s">
        <v>394</v>
      </c>
      <c r="C80" s="350"/>
      <c r="D80" s="87"/>
      <c r="E80" s="351"/>
      <c r="F80" s="352"/>
      <c r="G80" s="352"/>
      <c r="H80" s="352"/>
      <c r="I80" s="343"/>
      <c r="J80" s="348"/>
      <c r="K80" s="114"/>
      <c r="M80" s="94" t="s">
        <v>324</v>
      </c>
      <c r="N80" s="95"/>
      <c r="S80" s="87"/>
    </row>
    <row r="81" spans="2:19" ht="13.5" customHeight="1" x14ac:dyDescent="0.15">
      <c r="B81" s="291" t="str">
        <f>IF('For Data entry'!C136="","〔　　　　　　　 　　　　　　　　　　  　　　　〕",'For Data entry'!C136)</f>
        <v>〔　　　　　　　 　　　　　　　　　　  　　　　〕</v>
      </c>
      <c r="C81" s="44"/>
      <c r="D81" s="293">
        <v>1</v>
      </c>
      <c r="E81" s="294" t="str">
        <f>IF('For Data entry'!F136="✓","✓","□")</f>
        <v>□</v>
      </c>
      <c r="F81" s="353" t="str">
        <f>IF('For Data entry'!C146="","〔　　　　　　　　　　　　　　　　   　　　　〕",'For Data entry'!C146)</f>
        <v>〔　　　　　　　　　　　　　　　　   　　　　〕</v>
      </c>
      <c r="G81" s="293">
        <v>1</v>
      </c>
      <c r="H81" s="294" t="str">
        <f>IF('For Data entry'!F146="✓","✓","□")</f>
        <v>□</v>
      </c>
      <c r="I81" s="343"/>
      <c r="J81" s="348"/>
      <c r="K81" s="114"/>
      <c r="M81" s="614" t="str">
        <f>'For Data entry'!A10</f>
        <v xml:space="preserve">Progress of International Experience (Study abroad/ Internship) for "Cross-Cultural Adjustment 2" </v>
      </c>
      <c r="N81" s="615"/>
      <c r="O81" s="620" t="str">
        <f>IF('For Data entry'!C10="","",'For Data entry'!C10)</f>
        <v/>
      </c>
      <c r="P81" s="621"/>
      <c r="Q81" s="621"/>
      <c r="R81" s="622"/>
      <c r="S81" s="87"/>
    </row>
    <row r="82" spans="2:19" x14ac:dyDescent="0.15">
      <c r="B82" s="291" t="str">
        <f>IF('For Data entry'!C137="","〔　　　　　　　 　　　　　　　　　　  　　　　〕",'For Data entry'!C137)</f>
        <v>〔　　　　　　　 　　　　　　　　　　  　　　　〕</v>
      </c>
      <c r="C82" s="44"/>
      <c r="D82" s="293">
        <v>1</v>
      </c>
      <c r="E82" s="294" t="str">
        <f>IF('For Data entry'!F137="✓","✓","□")</f>
        <v>□</v>
      </c>
      <c r="F82" s="353" t="str">
        <f>IF('For Data entry'!C147="","〔　　　　　　　　　　　　　　　　   　　　　〕",'For Data entry'!C147)</f>
        <v>〔　　　　　　　　　　　　　　　　   　　　　〕</v>
      </c>
      <c r="G82" s="293">
        <v>1</v>
      </c>
      <c r="H82" s="294" t="str">
        <f>IF('For Data entry'!F147="✓","✓","□")</f>
        <v>□</v>
      </c>
      <c r="I82" s="343"/>
      <c r="J82" s="348"/>
      <c r="K82" s="114"/>
      <c r="M82" s="616"/>
      <c r="N82" s="617"/>
      <c r="O82" s="623"/>
      <c r="P82" s="624"/>
      <c r="Q82" s="624"/>
      <c r="R82" s="625"/>
      <c r="S82" s="87"/>
    </row>
    <row r="83" spans="2:19" ht="13.5" customHeight="1" x14ac:dyDescent="0.15">
      <c r="B83" s="291" t="str">
        <f>IF('For Data entry'!C138="","〔　　　　　　　 　　　　　　　　　　  　　　　〕",'For Data entry'!C138)</f>
        <v>〔　　　　　　　 　　　　　　　　　　  　　　　〕</v>
      </c>
      <c r="C83" s="44"/>
      <c r="D83" s="293">
        <v>1</v>
      </c>
      <c r="E83" s="294" t="str">
        <f>IF('For Data entry'!F138="✓","✓","□")</f>
        <v>□</v>
      </c>
      <c r="F83" s="353" t="str">
        <f>IF('For Data entry'!C148="","〔　　　　　　　　　　　　　　　　   　　　　〕",'For Data entry'!C148)</f>
        <v>〔　　　　　　　　　　　　　　　　   　　　　〕</v>
      </c>
      <c r="G83" s="293">
        <v>1</v>
      </c>
      <c r="H83" s="294" t="str">
        <f>IF('For Data entry'!F148="✓","✓","□")</f>
        <v>□</v>
      </c>
      <c r="I83" s="343"/>
      <c r="J83" s="348"/>
      <c r="K83" s="114"/>
      <c r="M83" s="616"/>
      <c r="N83" s="617"/>
      <c r="O83" s="623"/>
      <c r="P83" s="624"/>
      <c r="Q83" s="624"/>
      <c r="R83" s="625"/>
      <c r="S83" s="87"/>
    </row>
    <row r="84" spans="2:19" x14ac:dyDescent="0.15">
      <c r="B84" s="291" t="str">
        <f>IF('For Data entry'!C139="","〔　　　　　　　 　　　　　　　　　　  　　　　〕",'For Data entry'!C139)</f>
        <v>〔　　　　　　　 　　　　　　　　　　  　　　　〕</v>
      </c>
      <c r="C84" s="44"/>
      <c r="D84" s="293">
        <v>1</v>
      </c>
      <c r="E84" s="294" t="str">
        <f>IF('For Data entry'!F139="✓","✓","□")</f>
        <v>□</v>
      </c>
      <c r="F84" s="353" t="str">
        <f>IF('For Data entry'!C149="","〔　　　　　　　　　　　　　　　　   　　　　〕",'For Data entry'!C149)</f>
        <v>〔　　　　　　　　　　　　　　　　   　　　　〕</v>
      </c>
      <c r="G84" s="293">
        <v>1</v>
      </c>
      <c r="H84" s="294" t="str">
        <f>IF('For Data entry'!F149="✓","✓","□")</f>
        <v>□</v>
      </c>
      <c r="I84" s="343"/>
      <c r="J84" s="348"/>
      <c r="K84" s="114"/>
      <c r="M84" s="618"/>
      <c r="N84" s="619"/>
      <c r="O84" s="626"/>
      <c r="P84" s="627"/>
      <c r="Q84" s="627"/>
      <c r="R84" s="628"/>
      <c r="S84" s="87"/>
    </row>
    <row r="85" spans="2:19" ht="13.5" customHeight="1" x14ac:dyDescent="0.15">
      <c r="B85" s="291" t="str">
        <f>IF('For Data entry'!C140="","〔　　　　　　　 　　　　　　　　　　  　　　　〕",'For Data entry'!C140)</f>
        <v>〔　　　　　　　 　　　　　　　　　　  　　　　〕</v>
      </c>
      <c r="C85" s="44"/>
      <c r="D85" s="293">
        <v>1</v>
      </c>
      <c r="E85" s="294" t="str">
        <f>IF('For Data entry'!F140="✓","✓","□")</f>
        <v>□</v>
      </c>
      <c r="F85" s="353" t="str">
        <f>IF('For Data entry'!C150="","〔　　　　　　　　　　　　　　　　   　　　　〕",'For Data entry'!C150)</f>
        <v>〔　　　　　　　　　　　　　　　　   　　　　〕</v>
      </c>
      <c r="G85" s="293">
        <v>1</v>
      </c>
      <c r="H85" s="294" t="str">
        <f>IF('For Data entry'!F150="✓","✓","□")</f>
        <v>□</v>
      </c>
      <c r="I85" s="343"/>
      <c r="J85" s="348"/>
      <c r="K85" s="114"/>
      <c r="M85" s="629" t="str">
        <f>'For Data entry'!A11</f>
        <v>Timing and duration schedule for international experience</v>
      </c>
      <c r="N85" s="630"/>
      <c r="O85" s="631" t="str">
        <f>IF('For Data entry'!C11="","",'For Data entry'!C11)</f>
        <v/>
      </c>
      <c r="P85" s="632"/>
      <c r="Q85" s="632"/>
      <c r="R85" s="633"/>
      <c r="S85" s="87"/>
    </row>
    <row r="86" spans="2:19" x14ac:dyDescent="0.15">
      <c r="B86" s="291" t="str">
        <f>IF('For Data entry'!C141="","〔　　　　　　　 　　　　　　　　　　  　　　　〕",'For Data entry'!C141)</f>
        <v>〔　　　　　　　 　　　　　　　　　　  　　　　〕</v>
      </c>
      <c r="C86" s="44"/>
      <c r="D86" s="293">
        <v>1</v>
      </c>
      <c r="E86" s="294" t="str">
        <f>IF('For Data entry'!F141="✓","✓","□")</f>
        <v>□</v>
      </c>
      <c r="F86" s="353" t="str">
        <f>IF('For Data entry'!C151="","〔　　　　　　　　　　　　　　　　   　　　　〕",'For Data entry'!C151)</f>
        <v>〔　　　　　　　　　　　　　　　　   　　　　〕</v>
      </c>
      <c r="G86" s="293">
        <v>1</v>
      </c>
      <c r="H86" s="294" t="str">
        <f>IF('For Data entry'!F151="✓","✓","□")</f>
        <v>□</v>
      </c>
      <c r="I86" s="343"/>
      <c r="J86" s="348"/>
      <c r="K86" s="114"/>
      <c r="M86" s="616"/>
      <c r="N86" s="617"/>
      <c r="O86" s="623"/>
      <c r="P86" s="624"/>
      <c r="Q86" s="624"/>
      <c r="R86" s="625"/>
      <c r="S86" s="87"/>
    </row>
    <row r="87" spans="2:19" ht="13.5" customHeight="1" x14ac:dyDescent="0.15">
      <c r="B87" s="291" t="str">
        <f>IF('For Data entry'!C142="","〔　　　　　　　 　　　　　　　　　　  　　　　〕",'For Data entry'!C142)</f>
        <v>〔　　　　　　　 　　　　　　　　　　  　　　　〕</v>
      </c>
      <c r="C87" s="44"/>
      <c r="D87" s="293">
        <v>1</v>
      </c>
      <c r="E87" s="294" t="str">
        <f>IF('For Data entry'!F142="✓","✓","□")</f>
        <v>□</v>
      </c>
      <c r="F87" s="353" t="str">
        <f>IF('For Data entry'!C152="","〔　　　　　　　　　　　　　　　　   　　　　〕",'For Data entry'!C152)</f>
        <v>〔　　　　　　　　　　　　　　　　   　　　　〕</v>
      </c>
      <c r="G87" s="293">
        <v>1</v>
      </c>
      <c r="H87" s="294" t="str">
        <f>IF('For Data entry'!F152="✓","✓","□")</f>
        <v>□</v>
      </c>
      <c r="I87" s="343"/>
      <c r="J87" s="348"/>
      <c r="K87" s="114"/>
      <c r="M87" s="618"/>
      <c r="N87" s="619"/>
      <c r="O87" s="626"/>
      <c r="P87" s="627"/>
      <c r="Q87" s="627"/>
      <c r="R87" s="628"/>
      <c r="S87" s="87"/>
    </row>
    <row r="88" spans="2:19" x14ac:dyDescent="0.15">
      <c r="B88" s="291" t="str">
        <f>IF('For Data entry'!C143="","〔　　　　　　　 　　　　　　　　　　  　　　　〕",'For Data entry'!C143)</f>
        <v>〔　　　　　　　 　　　　　　　　　　  　　　　〕</v>
      </c>
      <c r="C88" s="44"/>
      <c r="D88" s="293">
        <v>1</v>
      </c>
      <c r="E88" s="294" t="str">
        <f>IF('For Data entry'!F143="✓","✓","□")</f>
        <v>□</v>
      </c>
      <c r="F88" s="353" t="str">
        <f>IF('For Data entry'!C153="","〔　　　　　　　　　　　　　　　　   　　　　〕",'For Data entry'!C153)</f>
        <v>〔　　　　　　　　　　　　　　　　   　　　　〕</v>
      </c>
      <c r="G88" s="293">
        <v>1</v>
      </c>
      <c r="H88" s="294" t="str">
        <f>IF('For Data entry'!F153="✓","✓","□")</f>
        <v>□</v>
      </c>
      <c r="I88" s="343"/>
      <c r="J88" s="348"/>
      <c r="K88" s="114"/>
      <c r="M88" s="634" t="str">
        <f>'For Data entry'!A12</f>
        <v>When to take "Cross-Cultural Adjustment 2" after International Experience(e.g. Spring  quarter in 2025)</v>
      </c>
      <c r="N88" s="635"/>
      <c r="O88" s="640" t="str">
        <f>IF('For Data entry'!C12="","",'For Data entry'!C12)</f>
        <v/>
      </c>
      <c r="P88" s="640"/>
      <c r="Q88" s="640"/>
      <c r="R88" s="641"/>
      <c r="S88" s="87"/>
    </row>
    <row r="89" spans="2:19" x14ac:dyDescent="0.15">
      <c r="B89" s="291" t="str">
        <f>IF('For Data entry'!C144="","〔　　　　　　　 　　　　　　　　　　  　　　　〕",'For Data entry'!C144)</f>
        <v>〔　　　　　　　 　　　　　　　　　　  　　　　〕</v>
      </c>
      <c r="C89" s="44"/>
      <c r="D89" s="293">
        <v>1</v>
      </c>
      <c r="E89" s="294" t="str">
        <f>IF('For Data entry'!F144="✓","✓","□")</f>
        <v>□</v>
      </c>
      <c r="F89" s="353" t="str">
        <f>IF('For Data entry'!C154="","〔　　　　　　　　　　　　　　　　   　　　　〕",'For Data entry'!C154)</f>
        <v>〔　　　　　　　　　　　　　　　　   　　　　〕</v>
      </c>
      <c r="G89" s="293">
        <v>1</v>
      </c>
      <c r="H89" s="294" t="str">
        <f>IF('For Data entry'!F154="✓","✓","□")</f>
        <v>□</v>
      </c>
      <c r="I89" s="343"/>
      <c r="J89" s="348"/>
      <c r="K89" s="114"/>
      <c r="M89" s="636"/>
      <c r="N89" s="637"/>
      <c r="O89" s="642"/>
      <c r="P89" s="642"/>
      <c r="Q89" s="642"/>
      <c r="R89" s="643"/>
      <c r="S89" s="87"/>
    </row>
    <row r="90" spans="2:19" ht="14.25" customHeight="1" thickBot="1" x14ac:dyDescent="0.2">
      <c r="B90" s="302" t="str">
        <f>IF('For Data entry'!C145="","〔　　　　　　　 　　　　　　　　　　  　　　　〕",'For Data entry'!C145)</f>
        <v>〔　　　　　　　 　　　　　　　　　　  　　　　〕</v>
      </c>
      <c r="C90" s="354"/>
      <c r="D90" s="304">
        <v>1</v>
      </c>
      <c r="E90" s="305" t="str">
        <f>IF('For Data entry'!F145="✓","✓","□")</f>
        <v>□</v>
      </c>
      <c r="F90" s="355" t="str">
        <f>IF('For Data entry'!C155="","〔　　　　　　　　　　　　　　　　   　　　　〕",'For Data entry'!C155)</f>
        <v>〔　　　　　　　　　　　　　　　　   　　　　〕</v>
      </c>
      <c r="G90" s="307">
        <v>1</v>
      </c>
      <c r="H90" s="356" t="str">
        <f>IF('For Data entry'!F155="✓","✓","□")</f>
        <v>□</v>
      </c>
      <c r="I90" s="357" t="s">
        <v>230</v>
      </c>
      <c r="J90" s="358" t="s">
        <v>328</v>
      </c>
      <c r="K90" s="359"/>
      <c r="M90" s="638"/>
      <c r="N90" s="639"/>
      <c r="O90" s="644"/>
      <c r="P90" s="644"/>
      <c r="Q90" s="644"/>
      <c r="R90" s="645"/>
      <c r="S90" s="87"/>
    </row>
    <row r="91" spans="2:19" ht="13.5" customHeight="1" x14ac:dyDescent="0.15">
      <c r="B91" s="360" t="s">
        <v>396</v>
      </c>
      <c r="C91" s="361"/>
      <c r="D91" s="137"/>
      <c r="E91" s="137"/>
      <c r="F91" s="286"/>
      <c r="G91" s="286"/>
      <c r="H91" s="362"/>
      <c r="I91" s="363" t="s">
        <v>263</v>
      </c>
      <c r="J91" s="364"/>
      <c r="K91" s="365"/>
      <c r="M91" s="366"/>
      <c r="N91" s="366"/>
      <c r="O91" s="367"/>
      <c r="P91" s="367"/>
      <c r="Q91" s="367"/>
      <c r="R91" s="367"/>
      <c r="S91" s="87"/>
    </row>
    <row r="92" spans="2:19" x14ac:dyDescent="0.15">
      <c r="B92" s="368" t="str">
        <f>IF('For Data entry'!C157="","〔　　　　　　　 　　　　　　　　　　  　　　　〕",'For Data entry'!C157)</f>
        <v>〔　　　　　　　 　　　　　　　　　　  　　　　〕</v>
      </c>
      <c r="C92" s="369"/>
      <c r="D92" s="336">
        <v>1</v>
      </c>
      <c r="E92" s="337" t="str">
        <f>IF('For Data entry'!H157="✓","✓","□")</f>
        <v>□</v>
      </c>
      <c r="F92" s="338" t="str">
        <f>IF('For Data entry'!C158="","〔　　　　　　　　　　　　　　　　   　　　　〕",'For Data entry'!C158)</f>
        <v>〔　　　　　　　　　　　　　　　　   　　　　〕</v>
      </c>
      <c r="G92" s="370">
        <v>1</v>
      </c>
      <c r="H92" s="371" t="str">
        <f>IF('For Data entry'!H158="✓","✓","□")</f>
        <v>□</v>
      </c>
      <c r="I92" s="372"/>
      <c r="J92" s="373" t="s">
        <v>230</v>
      </c>
      <c r="K92" s="374"/>
      <c r="S92" s="87"/>
    </row>
    <row r="93" spans="2:19" x14ac:dyDescent="0.15">
      <c r="N93" s="375"/>
      <c r="O93" s="375"/>
      <c r="P93" s="375"/>
      <c r="S93" s="87"/>
    </row>
    <row r="94" spans="2:19" ht="14.25" thickBot="1" x14ac:dyDescent="0.2">
      <c r="B94" s="95" t="s">
        <v>302</v>
      </c>
      <c r="C94" s="95"/>
      <c r="D94" s="95"/>
      <c r="E94" s="95"/>
      <c r="N94" s="375"/>
      <c r="O94" s="375"/>
      <c r="P94" s="375"/>
      <c r="S94" s="87"/>
    </row>
    <row r="95" spans="2:19" ht="13.5" customHeight="1" x14ac:dyDescent="0.15">
      <c r="B95" s="376" t="s">
        <v>271</v>
      </c>
      <c r="C95" s="376"/>
      <c r="D95" s="377">
        <v>2</v>
      </c>
      <c r="E95" s="378" t="str">
        <f>IF('For Data entry'!F160="✓","✓","□")</f>
        <v>□</v>
      </c>
      <c r="F95" s="379" t="s">
        <v>270</v>
      </c>
      <c r="G95" s="377">
        <v>1</v>
      </c>
      <c r="H95" s="380" t="str">
        <f>IF('For Data entry'!F164="✓","✓","□")</f>
        <v>□</v>
      </c>
      <c r="I95" s="381" t="s">
        <v>231</v>
      </c>
      <c r="J95" s="382"/>
      <c r="K95" s="383"/>
      <c r="S95" s="87"/>
    </row>
    <row r="96" spans="2:19" x14ac:dyDescent="0.15">
      <c r="B96" s="220" t="s">
        <v>270</v>
      </c>
      <c r="C96" s="220"/>
      <c r="D96" s="384">
        <v>1</v>
      </c>
      <c r="E96" s="385" t="str">
        <f>IF('For Data entry'!F161="✓","✓","□")</f>
        <v>□</v>
      </c>
      <c r="F96" s="109" t="s">
        <v>270</v>
      </c>
      <c r="G96" s="384">
        <v>1</v>
      </c>
      <c r="H96" s="386" t="str">
        <f>IF('For Data entry'!F165="✓","✓","□")</f>
        <v>□</v>
      </c>
      <c r="I96" s="387"/>
      <c r="J96" s="388"/>
      <c r="K96" s="389"/>
      <c r="S96" s="87"/>
    </row>
    <row r="97" spans="2:19" x14ac:dyDescent="0.15">
      <c r="B97" s="220" t="s">
        <v>270</v>
      </c>
      <c r="C97" s="220"/>
      <c r="D97" s="384">
        <v>1</v>
      </c>
      <c r="E97" s="385" t="str">
        <f>IF('For Data entry'!F162="✓","✓","□")</f>
        <v>□</v>
      </c>
      <c r="F97" s="109" t="s">
        <v>270</v>
      </c>
      <c r="G97" s="384">
        <v>1</v>
      </c>
      <c r="H97" s="386" t="str">
        <f>IF('For Data entry'!F166="✓","✓","□")</f>
        <v>□</v>
      </c>
      <c r="I97" s="387"/>
      <c r="J97" s="388"/>
      <c r="K97" s="389"/>
      <c r="S97" s="87"/>
    </row>
    <row r="98" spans="2:19" ht="14.25" thickBot="1" x14ac:dyDescent="0.2">
      <c r="B98" s="390" t="s">
        <v>270</v>
      </c>
      <c r="C98" s="390"/>
      <c r="D98" s="391">
        <v>1</v>
      </c>
      <c r="E98" s="392" t="str">
        <f>IF('For Data entry'!F163="✓","✓","□")</f>
        <v>□</v>
      </c>
      <c r="F98" s="393"/>
      <c r="G98" s="394"/>
      <c r="H98" s="395"/>
      <c r="I98" s="396" t="s">
        <v>230</v>
      </c>
      <c r="J98" s="397" t="s">
        <v>269</v>
      </c>
      <c r="K98" s="398"/>
      <c r="S98" s="87"/>
    </row>
    <row r="99" spans="2:19" ht="13.5" customHeight="1" x14ac:dyDescent="0.15">
      <c r="B99" s="136" t="s">
        <v>444</v>
      </c>
      <c r="C99" s="399"/>
      <c r="D99" s="137"/>
      <c r="E99" s="400"/>
      <c r="F99" s="400"/>
      <c r="G99" s="400"/>
      <c r="H99" s="400"/>
      <c r="I99" s="363" t="s">
        <v>264</v>
      </c>
      <c r="J99" s="364"/>
      <c r="K99" s="365"/>
      <c r="S99" s="87"/>
    </row>
    <row r="100" spans="2:19" x14ac:dyDescent="0.15">
      <c r="B100" s="401" t="s">
        <v>394</v>
      </c>
      <c r="C100" s="402"/>
      <c r="D100" s="87"/>
      <c r="E100" s="352"/>
      <c r="F100" s="352"/>
      <c r="G100" s="352"/>
      <c r="H100" s="352"/>
      <c r="I100" s="403"/>
      <c r="J100" s="404"/>
      <c r="K100" s="405"/>
      <c r="S100" s="87"/>
    </row>
    <row r="101" spans="2:19" x14ac:dyDescent="0.15">
      <c r="B101" s="368" t="str">
        <f>IF('For Data entry'!C168="","〔　　　　　　　 　　　　　　　　　　  　　　　〕",'For Data entry'!C168)</f>
        <v>〔　　　　　　　 　　　　　　　　　　  　　　　〕</v>
      </c>
      <c r="C101" s="335"/>
      <c r="D101" s="406">
        <v>1</v>
      </c>
      <c r="E101" s="406" t="str">
        <f>IF('For Data entry'!F168="✓","✓","□")</f>
        <v>□</v>
      </c>
      <c r="F101" s="407" t="str">
        <f>IF('For Data entry'!C169="","〔　　　　　　　　　　　　　　　　   　　　　〕",'For Data entry'!C169)</f>
        <v>〔　　　　　　　　　　　　　　　　   　　　　〕</v>
      </c>
      <c r="G101" s="408">
        <v>1</v>
      </c>
      <c r="H101" s="408" t="str">
        <f>IF('For Data entry'!F169="✓","✓","□")</f>
        <v>□</v>
      </c>
      <c r="I101" s="372"/>
      <c r="J101" s="409" t="s">
        <v>230</v>
      </c>
      <c r="K101" s="410"/>
      <c r="S101" s="87"/>
    </row>
    <row r="102" spans="2:19" x14ac:dyDescent="0.15">
      <c r="B102" s="87"/>
      <c r="I102" s="375"/>
      <c r="J102" s="375"/>
      <c r="K102" s="375"/>
      <c r="S102" s="87"/>
    </row>
    <row r="103" spans="2:19" ht="14.25" thickBot="1" x14ac:dyDescent="0.2">
      <c r="B103" s="95" t="s">
        <v>303</v>
      </c>
      <c r="C103" s="95"/>
      <c r="D103" s="95"/>
      <c r="E103" s="95"/>
      <c r="I103" s="411"/>
      <c r="J103" s="411"/>
      <c r="K103" s="411"/>
      <c r="S103" s="87"/>
    </row>
    <row r="104" spans="2:19" x14ac:dyDescent="0.15">
      <c r="B104" s="376" t="s">
        <v>272</v>
      </c>
      <c r="C104" s="376"/>
      <c r="D104" s="377">
        <v>1</v>
      </c>
      <c r="E104" s="378" t="str">
        <f>IF('For Data entry'!F171="✓","✓","□")</f>
        <v>□</v>
      </c>
      <c r="F104" s="379" t="s">
        <v>273</v>
      </c>
      <c r="G104" s="377">
        <v>1</v>
      </c>
      <c r="H104" s="380" t="str">
        <f>IF('For Data entry'!F172="✓","✓","□")</f>
        <v>□</v>
      </c>
      <c r="I104" s="412"/>
      <c r="J104" s="413"/>
      <c r="K104" s="383"/>
      <c r="S104" s="87"/>
    </row>
    <row r="105" spans="2:19" ht="14.25" thickBot="1" x14ac:dyDescent="0.2">
      <c r="B105" s="390"/>
      <c r="C105" s="414"/>
      <c r="D105" s="391"/>
      <c r="E105" s="392"/>
      <c r="F105" s="414"/>
      <c r="G105" s="391"/>
      <c r="H105" s="415"/>
      <c r="I105" s="416" t="s">
        <v>230</v>
      </c>
      <c r="J105" s="417" t="s">
        <v>329</v>
      </c>
      <c r="K105" s="398"/>
      <c r="S105" s="87"/>
    </row>
    <row r="106" spans="2:19" ht="13.5" customHeight="1" x14ac:dyDescent="0.15">
      <c r="B106" s="210" t="s">
        <v>416</v>
      </c>
      <c r="C106" s="44"/>
      <c r="D106" s="137"/>
      <c r="E106" s="44"/>
      <c r="F106" s="418"/>
      <c r="G106" s="281"/>
      <c r="H106" s="281"/>
      <c r="I106" s="363" t="s">
        <v>265</v>
      </c>
      <c r="J106" s="364"/>
      <c r="K106" s="365"/>
      <c r="S106" s="87"/>
    </row>
    <row r="107" spans="2:19" x14ac:dyDescent="0.15">
      <c r="B107" s="368" t="str">
        <f>IF('For Data entry'!C174="","〔　　　　　　　 　　　　　　　　　　  　　　　〕",'For Data entry'!C174)</f>
        <v>〔　　　　　　　 　　　　　　　　　　  　　　　〕</v>
      </c>
      <c r="C107" s="335"/>
      <c r="D107" s="406" t="str">
        <f>IF('For Data entry'!D174="","（　　）",'For Data entry'!D174)</f>
        <v>（　　）</v>
      </c>
      <c r="E107" s="406" t="str">
        <f>IF('For Data entry'!F174="✓","✓","□")</f>
        <v>□</v>
      </c>
      <c r="F107" s="419" t="str">
        <f>IF('For Data entry'!C175="","〔　　　　　　　　　　　　　　　　   　　　　〕",'For Data entry'!C175)</f>
        <v>〔　　　　　　　　　　　　　　　　   　　　　〕</v>
      </c>
      <c r="G107" s="406" t="str">
        <f>IF('For Data entry'!D175="","（　　）",'For Data entry'!D175)</f>
        <v>（　　）</v>
      </c>
      <c r="H107" s="420" t="str">
        <f>IF('For Data entry'!F175="✓","✓","□")</f>
        <v>□</v>
      </c>
      <c r="I107" s="372"/>
      <c r="J107" s="409" t="s">
        <v>229</v>
      </c>
      <c r="K107" s="410"/>
      <c r="S107" s="87"/>
    </row>
    <row r="108" spans="2:19" x14ac:dyDescent="0.15">
      <c r="B108" s="87"/>
      <c r="J108" s="421"/>
      <c r="K108" s="421"/>
      <c r="S108" s="87"/>
    </row>
    <row r="109" spans="2:19" ht="14.25" thickBot="1" x14ac:dyDescent="0.2">
      <c r="B109" s="95" t="s">
        <v>304</v>
      </c>
      <c r="C109" s="95"/>
      <c r="D109" s="95"/>
      <c r="E109" s="95"/>
      <c r="F109" s="281"/>
      <c r="G109" s="281"/>
      <c r="H109" s="281"/>
      <c r="I109" s="422"/>
      <c r="J109" s="423"/>
      <c r="K109" s="423"/>
      <c r="S109" s="87"/>
    </row>
    <row r="110" spans="2:19" ht="14.25" customHeight="1" x14ac:dyDescent="0.15">
      <c r="B110" s="376" t="s">
        <v>297</v>
      </c>
      <c r="C110" s="376"/>
      <c r="D110" s="377">
        <v>2</v>
      </c>
      <c r="E110" s="378" t="str">
        <f>IF('For Data entry'!F178="✓","✓","□")</f>
        <v>□</v>
      </c>
      <c r="F110" s="379" t="s">
        <v>299</v>
      </c>
      <c r="G110" s="377">
        <v>2</v>
      </c>
      <c r="H110" s="380" t="str">
        <f>IF('For Data entry'!F180="✓","✓","□")</f>
        <v>□</v>
      </c>
      <c r="I110" s="381"/>
      <c r="J110" s="382"/>
      <c r="K110" s="107"/>
      <c r="S110" s="87"/>
    </row>
    <row r="111" spans="2:19" ht="14.25" thickBot="1" x14ac:dyDescent="0.2">
      <c r="B111" s="390" t="s">
        <v>298</v>
      </c>
      <c r="C111" s="414"/>
      <c r="D111" s="391">
        <v>5</v>
      </c>
      <c r="E111" s="392" t="str">
        <f>IF('For Data entry'!F179="✓","✓","□")</f>
        <v>□</v>
      </c>
      <c r="F111" s="414"/>
      <c r="G111" s="391"/>
      <c r="H111" s="415"/>
      <c r="I111" s="424" t="s">
        <v>230</v>
      </c>
      <c r="J111" s="358" t="s">
        <v>330</v>
      </c>
      <c r="K111" s="359"/>
      <c r="S111" s="87"/>
    </row>
    <row r="112" spans="2:19" ht="13.5" customHeight="1" x14ac:dyDescent="0.15">
      <c r="B112" s="376" t="s">
        <v>305</v>
      </c>
      <c r="C112" s="376"/>
      <c r="D112" s="377">
        <v>2</v>
      </c>
      <c r="E112" s="378" t="str">
        <f>IF('For Data entry'!F182="✓","✓","□")</f>
        <v>□</v>
      </c>
      <c r="F112" s="379" t="s">
        <v>306</v>
      </c>
      <c r="G112" s="377">
        <v>2</v>
      </c>
      <c r="H112" s="380" t="str">
        <f>IF('For Data entry'!F183="✓","✓","□")</f>
        <v>□</v>
      </c>
      <c r="I112" s="381" t="s">
        <v>232</v>
      </c>
      <c r="J112" s="382"/>
      <c r="K112" s="107"/>
      <c r="S112" s="87"/>
    </row>
    <row r="113" spans="2:19" ht="14.25" thickBot="1" x14ac:dyDescent="0.2">
      <c r="B113" s="390"/>
      <c r="C113" s="414"/>
      <c r="D113" s="391"/>
      <c r="E113" s="392"/>
      <c r="F113" s="414"/>
      <c r="G113" s="391"/>
      <c r="H113" s="415"/>
      <c r="I113" s="424" t="s">
        <v>230</v>
      </c>
      <c r="J113" s="358" t="s">
        <v>331</v>
      </c>
      <c r="K113" s="359"/>
      <c r="S113" s="87"/>
    </row>
    <row r="114" spans="2:19" ht="13.5" customHeight="1" x14ac:dyDescent="0.15">
      <c r="B114" s="425" t="s">
        <v>295</v>
      </c>
      <c r="C114" s="426"/>
      <c r="D114" s="361"/>
      <c r="E114" s="352"/>
      <c r="F114" s="352"/>
      <c r="G114" s="352"/>
      <c r="H114" s="352"/>
      <c r="I114" s="427" t="s">
        <v>233</v>
      </c>
      <c r="J114" s="428"/>
      <c r="K114" s="383"/>
      <c r="S114" s="87"/>
    </row>
    <row r="115" spans="2:19" x14ac:dyDescent="0.15">
      <c r="B115" s="429" t="s">
        <v>394</v>
      </c>
      <c r="C115" s="87"/>
      <c r="D115" s="87"/>
      <c r="E115" s="352"/>
      <c r="F115" s="352"/>
      <c r="G115" s="352"/>
      <c r="H115" s="430"/>
      <c r="I115" s="387"/>
      <c r="J115" s="388"/>
      <c r="K115" s="389"/>
      <c r="S115" s="87"/>
    </row>
    <row r="116" spans="2:19" x14ac:dyDescent="0.15">
      <c r="B116" s="220" t="str">
        <f>IF('For Data entry'!C185="","〔　　　　　　　 　　　　　　　　　　  　　　　〕",'For Data entry'!C185)</f>
        <v>〔　　　　　　　 　　　　　　　　　　  　　　　〕</v>
      </c>
      <c r="C116" s="91"/>
      <c r="D116" s="384">
        <v>1</v>
      </c>
      <c r="E116" s="385" t="str">
        <f>IF('For Data entry'!F185="✓","✓","□")</f>
        <v>□</v>
      </c>
      <c r="F116" s="109" t="str">
        <f>IF('For Data entry'!C188="","〔　　　　　　　　　　　　　　　　   　　　　〕",'For Data entry'!C188)</f>
        <v>〔　　　　　　　　　　　　　　　　   　　　　〕</v>
      </c>
      <c r="G116" s="384">
        <v>1</v>
      </c>
      <c r="H116" s="386" t="str">
        <f>IF('For Data entry'!F188="✓","✓","□")</f>
        <v>□</v>
      </c>
      <c r="I116" s="387"/>
      <c r="J116" s="388"/>
      <c r="K116" s="389"/>
      <c r="S116" s="87"/>
    </row>
    <row r="117" spans="2:19" x14ac:dyDescent="0.15">
      <c r="B117" s="220" t="str">
        <f>IF('For Data entry'!C186="","〔　　　　　　　 　　　　　　　　　　  　　　　〕",'For Data entry'!C186)</f>
        <v>〔　　　　　　　 　　　　　　　　　　  　　　　〕</v>
      </c>
      <c r="C117" s="91"/>
      <c r="D117" s="384">
        <v>1</v>
      </c>
      <c r="E117" s="385" t="str">
        <f>IF('For Data entry'!F186="✓","✓","□")</f>
        <v>□</v>
      </c>
      <c r="F117" s="109" t="str">
        <f>IF('For Data entry'!C189="","〔　　　　　　　　　　　　　　　　   　　　　〕",'For Data entry'!C189)</f>
        <v>〔　　　　　　　　　　　　　　　　   　　　　〕</v>
      </c>
      <c r="G117" s="384">
        <v>1</v>
      </c>
      <c r="H117" s="386" t="str">
        <f>IF('For Data entry'!F189="✓","✓","□")</f>
        <v>□</v>
      </c>
      <c r="I117" s="387"/>
      <c r="J117" s="388"/>
      <c r="K117" s="389"/>
      <c r="S117" s="87"/>
    </row>
    <row r="118" spans="2:19" ht="14.25" thickBot="1" x14ac:dyDescent="0.2">
      <c r="B118" s="390" t="str">
        <f>IF('For Data entry'!C187="","〔　　　　　　　 　　　　　　　　　　  　　　　〕",'For Data entry'!C187)</f>
        <v>〔　　　　　　　 　　　　　　　　　　  　　　　〕</v>
      </c>
      <c r="C118" s="414"/>
      <c r="D118" s="391">
        <v>1</v>
      </c>
      <c r="E118" s="392" t="str">
        <f>IF('For Data entry'!F187="✓","✓","□")</f>
        <v>□</v>
      </c>
      <c r="F118" s="414" t="str">
        <f>IF('For Data entry'!C190="","〔　　　　　　　　　　　　　　　　   　　　　〕",'For Data entry'!C190)</f>
        <v>〔　　　　　　　　　　　　　　　　   　　　　〕</v>
      </c>
      <c r="G118" s="391">
        <v>1</v>
      </c>
      <c r="H118" s="415" t="str">
        <f>IF('For Data entry'!F190="✓","✓","□")</f>
        <v>□</v>
      </c>
      <c r="I118" s="396" t="s">
        <v>230</v>
      </c>
      <c r="J118" s="358" t="s">
        <v>332</v>
      </c>
      <c r="K118" s="398"/>
      <c r="S118" s="87"/>
    </row>
    <row r="119" spans="2:19" ht="13.5" customHeight="1" x14ac:dyDescent="0.15">
      <c r="B119" s="136" t="s">
        <v>416</v>
      </c>
      <c r="C119" s="361"/>
      <c r="D119" s="137"/>
      <c r="E119" s="137"/>
      <c r="F119" s="431"/>
      <c r="G119" s="431"/>
      <c r="H119" s="432"/>
      <c r="I119" s="433" t="s">
        <v>266</v>
      </c>
      <c r="J119" s="364"/>
      <c r="K119" s="365"/>
      <c r="S119" s="87"/>
    </row>
    <row r="120" spans="2:19" x14ac:dyDescent="0.15">
      <c r="B120" s="252" t="str">
        <f>IF('For Data entry'!C192="","〔　　　　　　　 　　　　　　　　　　  　　　　〕",'For Data entry'!C192)</f>
        <v>〔　　　　　　　 　　　　　　　　　　  　　　　〕</v>
      </c>
      <c r="C120" s="434"/>
      <c r="D120" s="435">
        <v>1</v>
      </c>
      <c r="E120" s="436" t="str">
        <f>IF('For Data entry'!F192="✓","✓","□")</f>
        <v>□</v>
      </c>
      <c r="F120" s="434" t="str">
        <f>IF('For Data entry'!C193="","〔　　　　　　　　　　　　　　　　   　　　　〕",'For Data entry'!C193)</f>
        <v>〔　　　　　　　　　　　　　　　　   　　　　〕</v>
      </c>
      <c r="G120" s="435">
        <v>1</v>
      </c>
      <c r="H120" s="436" t="str">
        <f>IF('For Data entry'!F193="✓","✓","□")</f>
        <v>□</v>
      </c>
      <c r="I120" s="437"/>
      <c r="J120" s="438" t="s">
        <v>229</v>
      </c>
      <c r="K120" s="410"/>
      <c r="S120" s="87"/>
    </row>
  </sheetData>
  <mergeCells count="79">
    <mergeCell ref="M81:N84"/>
    <mergeCell ref="O81:R84"/>
    <mergeCell ref="M85:N87"/>
    <mergeCell ref="O85:R87"/>
    <mergeCell ref="M88:N90"/>
    <mergeCell ref="O88:R90"/>
    <mergeCell ref="B6:F6"/>
    <mergeCell ref="B9:F9"/>
    <mergeCell ref="M73:N74"/>
    <mergeCell ref="M65:N66"/>
    <mergeCell ref="I40:J40"/>
    <mergeCell ref="M43:N46"/>
    <mergeCell ref="B25:H25"/>
    <mergeCell ref="I25:J25"/>
    <mergeCell ref="O73:P74"/>
    <mergeCell ref="Q73:R74"/>
    <mergeCell ref="M75:N76"/>
    <mergeCell ref="O75:P76"/>
    <mergeCell ref="Q75:R76"/>
    <mergeCell ref="P65:P66"/>
    <mergeCell ref="Q65:Q66"/>
    <mergeCell ref="R65:R66"/>
    <mergeCell ref="M69:N70"/>
    <mergeCell ref="P69:P70"/>
    <mergeCell ref="Q69:Q70"/>
    <mergeCell ref="R69:R70"/>
    <mergeCell ref="Q43:Q46"/>
    <mergeCell ref="R43:R46"/>
    <mergeCell ref="M49:N52"/>
    <mergeCell ref="Q49:Q52"/>
    <mergeCell ref="R49:R52"/>
    <mergeCell ref="O34:P34"/>
    <mergeCell ref="Q34:R34"/>
    <mergeCell ref="O35:P35"/>
    <mergeCell ref="Q35:R35"/>
    <mergeCell ref="O36:P36"/>
    <mergeCell ref="Q36:R36"/>
    <mergeCell ref="O32:P32"/>
    <mergeCell ref="Q32:R32"/>
    <mergeCell ref="B33:H33"/>
    <mergeCell ref="I33:J33"/>
    <mergeCell ref="O33:P33"/>
    <mergeCell ref="Q33:R33"/>
    <mergeCell ref="O30:P30"/>
    <mergeCell ref="Q30:R30"/>
    <mergeCell ref="O31:P31"/>
    <mergeCell ref="Q31:R31"/>
    <mergeCell ref="O22:P22"/>
    <mergeCell ref="Q22:R22"/>
    <mergeCell ref="O23:P23"/>
    <mergeCell ref="Q23:R23"/>
    <mergeCell ref="O24:P24"/>
    <mergeCell ref="Q24:R24"/>
    <mergeCell ref="O19:P19"/>
    <mergeCell ref="Q19:R19"/>
    <mergeCell ref="O20:P20"/>
    <mergeCell ref="Q20:R20"/>
    <mergeCell ref="O21:P21"/>
    <mergeCell ref="Q21:R21"/>
    <mergeCell ref="O11:P11"/>
    <mergeCell ref="Q11:R11"/>
    <mergeCell ref="B12:B14"/>
    <mergeCell ref="B15:B18"/>
    <mergeCell ref="O16:P16"/>
    <mergeCell ref="O17:P17"/>
    <mergeCell ref="O18:P18"/>
    <mergeCell ref="Q18:R18"/>
    <mergeCell ref="O8:P8"/>
    <mergeCell ref="Q8:R8"/>
    <mergeCell ref="O9:P9"/>
    <mergeCell ref="Q9:R9"/>
    <mergeCell ref="O10:P10"/>
    <mergeCell ref="Q10:R10"/>
    <mergeCell ref="O5:P5"/>
    <mergeCell ref="Q5:R5"/>
    <mergeCell ref="O6:P6"/>
    <mergeCell ref="Q6:R6"/>
    <mergeCell ref="O7:P7"/>
    <mergeCell ref="Q7:R7"/>
  </mergeCells>
  <phoneticPr fontId="1"/>
  <pageMargins left="0.31496062992125984" right="0.31496062992125984" top="0.23622047244094491" bottom="0.19685039370078741" header="0.11811023622047245" footer="0.19685039370078741"/>
  <pageSetup paperSize="9" scale="72" fitToHeight="0" orientation="landscape" r:id="rId1"/>
  <headerFooter>
    <oddFooter xml:space="preserve">&amp;R&amp;P / &amp;N </oddFooter>
  </headerFooter>
  <rowBreaks count="1" manualBreakCount="1">
    <brk id="59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94"/>
  <sheetViews>
    <sheetView view="pageBreakPreview" zoomScale="80" zoomScaleNormal="100" zoomScaleSheetLayoutView="80" workbookViewId="0">
      <selection activeCell="L27" sqref="L27"/>
    </sheetView>
  </sheetViews>
  <sheetFormatPr defaultRowHeight="13.5" x14ac:dyDescent="0.15"/>
  <cols>
    <col min="1" max="1" width="4.25" customWidth="1"/>
    <col min="2" max="2" width="21.25" customWidth="1"/>
    <col min="3" max="3" width="39.875" customWidth="1"/>
    <col min="4" max="5" width="7.125" bestFit="1" customWidth="1"/>
    <col min="6" max="8" width="10.625" customWidth="1"/>
  </cols>
  <sheetData>
    <row r="1" spans="1:8" x14ac:dyDescent="0.15">
      <c r="B1" s="35"/>
      <c r="C1" s="6" t="s">
        <v>310</v>
      </c>
    </row>
    <row r="3" spans="1:8" x14ac:dyDescent="0.15">
      <c r="A3" s="584" t="s">
        <v>311</v>
      </c>
      <c r="B3" s="585"/>
      <c r="C3" s="19"/>
    </row>
    <row r="4" spans="1:8" x14ac:dyDescent="0.15">
      <c r="A4" s="584" t="s">
        <v>312</v>
      </c>
      <c r="B4" s="585"/>
      <c r="C4" s="31"/>
    </row>
    <row r="5" spans="1:8" x14ac:dyDescent="0.15">
      <c r="A5" s="584" t="s">
        <v>313</v>
      </c>
      <c r="B5" s="585"/>
      <c r="C5" s="33"/>
    </row>
    <row r="6" spans="1:8" x14ac:dyDescent="0.15">
      <c r="A6" s="21"/>
      <c r="B6" s="21"/>
    </row>
    <row r="7" spans="1:8" ht="57.95" customHeight="1" x14ac:dyDescent="0.15">
      <c r="A7" s="583" t="s">
        <v>323</v>
      </c>
      <c r="B7" s="583"/>
      <c r="C7" s="20"/>
      <c r="D7" s="7" t="s">
        <v>426</v>
      </c>
    </row>
    <row r="8" spans="1:8" ht="57.95" customHeight="1" x14ac:dyDescent="0.15">
      <c r="A8" s="583" t="s">
        <v>442</v>
      </c>
      <c r="B8" s="583"/>
      <c r="C8" s="34"/>
      <c r="D8" s="7"/>
    </row>
    <row r="9" spans="1:8" ht="57.95" customHeight="1" x14ac:dyDescent="0.15">
      <c r="A9" s="583" t="s">
        <v>422</v>
      </c>
      <c r="B9" s="583"/>
      <c r="C9" s="20"/>
    </row>
    <row r="10" spans="1:8" ht="67.5" customHeight="1" x14ac:dyDescent="0.15">
      <c r="A10" s="583" t="s">
        <v>439</v>
      </c>
      <c r="B10" s="583"/>
      <c r="C10" s="30"/>
      <c r="D10" s="7" t="s">
        <v>426</v>
      </c>
      <c r="E10" s="8"/>
    </row>
    <row r="11" spans="1:8" ht="57.95" customHeight="1" x14ac:dyDescent="0.15">
      <c r="A11" s="583" t="s">
        <v>423</v>
      </c>
      <c r="B11" s="583"/>
      <c r="C11" s="20"/>
      <c r="D11" s="7" t="s">
        <v>425</v>
      </c>
      <c r="E11" s="8"/>
    </row>
    <row r="12" spans="1:8" ht="57.95" customHeight="1" x14ac:dyDescent="0.15">
      <c r="A12" s="583" t="s">
        <v>440</v>
      </c>
      <c r="B12" s="583"/>
      <c r="C12" s="20"/>
      <c r="D12" s="7" t="s">
        <v>424</v>
      </c>
      <c r="E12" s="8"/>
    </row>
    <row r="13" spans="1:8" x14ac:dyDescent="0.15">
      <c r="C13" s="9"/>
      <c r="E13" s="8"/>
    </row>
    <row r="14" spans="1:8" ht="17.25" x14ac:dyDescent="0.2">
      <c r="A14" s="2" t="s">
        <v>314</v>
      </c>
      <c r="C14" s="9"/>
    </row>
    <row r="15" spans="1:8" x14ac:dyDescent="0.15">
      <c r="A15" s="3" t="s">
        <v>222</v>
      </c>
      <c r="C15" s="9"/>
      <c r="E15" s="8"/>
    </row>
    <row r="16" spans="1:8" ht="48" x14ac:dyDescent="0.15">
      <c r="A16" s="24" t="s">
        <v>337</v>
      </c>
      <c r="B16" s="5"/>
      <c r="C16" s="25" t="s">
        <v>339</v>
      </c>
      <c r="D16" s="26" t="s">
        <v>341</v>
      </c>
      <c r="E16" s="13" t="s">
        <v>343</v>
      </c>
      <c r="F16" s="13" t="s">
        <v>349</v>
      </c>
      <c r="G16" s="27" t="s">
        <v>345</v>
      </c>
      <c r="H16" s="28" t="s">
        <v>347</v>
      </c>
    </row>
    <row r="17" spans="1:8" x14ac:dyDescent="0.15">
      <c r="A17" s="11" t="s">
        <v>333</v>
      </c>
      <c r="B17" s="11"/>
      <c r="C17" s="11" t="s">
        <v>333</v>
      </c>
      <c r="D17" s="11">
        <v>1</v>
      </c>
      <c r="E17" s="11">
        <v>1</v>
      </c>
      <c r="F17" s="15"/>
      <c r="G17" s="11"/>
      <c r="H17" s="11"/>
    </row>
    <row r="18" spans="1:8" ht="27" x14ac:dyDescent="0.15">
      <c r="A18" s="23" t="s">
        <v>334</v>
      </c>
      <c r="B18" s="11"/>
      <c r="C18" s="22" t="s">
        <v>334</v>
      </c>
      <c r="D18" s="11">
        <v>2.5</v>
      </c>
      <c r="E18" s="11">
        <v>2.5</v>
      </c>
      <c r="F18" s="15"/>
      <c r="G18" s="11"/>
      <c r="H18" s="11"/>
    </row>
    <row r="19" spans="1:8" x14ac:dyDescent="0.15">
      <c r="A19" s="11" t="s">
        <v>335</v>
      </c>
      <c r="B19" s="11"/>
      <c r="C19" s="11"/>
      <c r="D19" s="11"/>
      <c r="E19" s="11">
        <v>8</v>
      </c>
      <c r="F19" s="11"/>
      <c r="G19" s="11"/>
      <c r="H19" s="11"/>
    </row>
    <row r="20" spans="1:8" x14ac:dyDescent="0.15">
      <c r="A20" s="11"/>
      <c r="B20" s="11">
        <v>1</v>
      </c>
      <c r="C20" s="15"/>
      <c r="D20" s="15"/>
      <c r="E20" s="11"/>
      <c r="F20" s="15"/>
      <c r="G20" s="11"/>
      <c r="H20" s="11"/>
    </row>
    <row r="21" spans="1:8" x14ac:dyDescent="0.15">
      <c r="A21" s="11"/>
      <c r="B21" s="11">
        <v>2</v>
      </c>
      <c r="C21" s="15"/>
      <c r="D21" s="15"/>
      <c r="E21" s="11"/>
      <c r="F21" s="15"/>
      <c r="G21" s="11"/>
      <c r="H21" s="11"/>
    </row>
    <row r="22" spans="1:8" x14ac:dyDescent="0.15">
      <c r="A22" s="11"/>
      <c r="B22" s="11">
        <v>3</v>
      </c>
      <c r="C22" s="15"/>
      <c r="D22" s="15"/>
      <c r="E22" s="11"/>
      <c r="F22" s="15"/>
      <c r="G22" s="11"/>
      <c r="H22" s="11"/>
    </row>
    <row r="23" spans="1:8" x14ac:dyDescent="0.15">
      <c r="A23" s="11"/>
      <c r="B23" s="11">
        <v>4</v>
      </c>
      <c r="C23" s="15"/>
      <c r="D23" s="15"/>
      <c r="E23" s="11"/>
      <c r="F23" s="15"/>
      <c r="G23" s="11"/>
      <c r="H23" s="11"/>
    </row>
    <row r="24" spans="1:8" x14ac:dyDescent="0.15">
      <c r="A24" s="11"/>
      <c r="B24" s="11">
        <v>5</v>
      </c>
      <c r="C24" s="15"/>
      <c r="D24" s="15"/>
      <c r="E24" s="11"/>
      <c r="F24" s="15"/>
      <c r="G24" s="11"/>
      <c r="H24" s="11"/>
    </row>
    <row r="25" spans="1:8" x14ac:dyDescent="0.15">
      <c r="A25" s="11"/>
      <c r="B25" s="11">
        <v>6</v>
      </c>
      <c r="C25" s="15"/>
      <c r="D25" s="15"/>
      <c r="E25" s="11"/>
      <c r="F25" s="15"/>
      <c r="G25" s="11"/>
      <c r="H25" s="11"/>
    </row>
    <row r="26" spans="1:8" x14ac:dyDescent="0.15">
      <c r="A26" s="11" t="s">
        <v>364</v>
      </c>
      <c r="B26" s="11"/>
      <c r="C26" s="11"/>
      <c r="D26" s="11"/>
      <c r="E26" s="11">
        <v>8</v>
      </c>
      <c r="F26" s="11"/>
      <c r="G26" s="11"/>
      <c r="H26" s="11"/>
    </row>
    <row r="27" spans="1:8" x14ac:dyDescent="0.15">
      <c r="A27" s="11"/>
      <c r="B27" s="11">
        <v>1</v>
      </c>
      <c r="C27" s="11" t="s">
        <v>227</v>
      </c>
      <c r="D27" s="11">
        <v>2</v>
      </c>
      <c r="E27" s="11">
        <v>2</v>
      </c>
      <c r="F27" s="15"/>
      <c r="G27" s="11"/>
      <c r="H27" s="11"/>
    </row>
    <row r="28" spans="1:8" x14ac:dyDescent="0.15">
      <c r="A28" s="11"/>
      <c r="B28" s="11">
        <v>2</v>
      </c>
      <c r="C28" s="11" t="s">
        <v>366</v>
      </c>
      <c r="D28" s="11">
        <v>1</v>
      </c>
      <c r="E28" s="11">
        <v>1</v>
      </c>
      <c r="F28" s="15"/>
      <c r="G28" s="11"/>
      <c r="H28" s="11"/>
    </row>
    <row r="29" spans="1:8" x14ac:dyDescent="0.15">
      <c r="A29" s="11"/>
      <c r="B29" s="11">
        <v>3</v>
      </c>
      <c r="C29" s="15"/>
      <c r="D29" s="15"/>
      <c r="E29" s="11"/>
      <c r="F29" s="15"/>
      <c r="G29" s="11"/>
      <c r="H29" s="11"/>
    </row>
    <row r="30" spans="1:8" x14ac:dyDescent="0.15">
      <c r="A30" s="11"/>
      <c r="B30" s="11">
        <v>4</v>
      </c>
      <c r="C30" s="15"/>
      <c r="D30" s="15"/>
      <c r="E30" s="11"/>
      <c r="F30" s="15"/>
      <c r="G30" s="11"/>
      <c r="H30" s="11"/>
    </row>
    <row r="31" spans="1:8" x14ac:dyDescent="0.15">
      <c r="A31" s="11"/>
      <c r="B31" s="11">
        <v>5</v>
      </c>
      <c r="C31" s="15"/>
      <c r="D31" s="15"/>
      <c r="E31" s="11"/>
      <c r="F31" s="15"/>
      <c r="G31" s="11"/>
      <c r="H31" s="11"/>
    </row>
    <row r="32" spans="1:8" x14ac:dyDescent="0.15">
      <c r="A32" s="11"/>
      <c r="B32" s="11">
        <v>6</v>
      </c>
      <c r="C32" s="15"/>
      <c r="D32" s="15"/>
      <c r="E32" s="11"/>
      <c r="F32" s="15"/>
      <c r="G32" s="11"/>
      <c r="H32" s="11"/>
    </row>
    <row r="33" spans="1:8" x14ac:dyDescent="0.15">
      <c r="A33" s="11"/>
      <c r="B33" s="11">
        <v>7</v>
      </c>
      <c r="C33" s="15"/>
      <c r="D33" s="15"/>
      <c r="E33" s="11"/>
      <c r="F33" s="15"/>
      <c r="G33" s="11"/>
      <c r="H33" s="11"/>
    </row>
    <row r="34" spans="1:8" x14ac:dyDescent="0.15">
      <c r="A34" s="11"/>
      <c r="B34" s="11" t="s">
        <v>418</v>
      </c>
      <c r="C34" s="11"/>
      <c r="D34" s="11"/>
      <c r="E34" s="11"/>
      <c r="F34" s="11"/>
      <c r="G34" s="11" t="s">
        <v>350</v>
      </c>
      <c r="H34" s="11"/>
    </row>
    <row r="35" spans="1:8" x14ac:dyDescent="0.15">
      <c r="A35" s="11"/>
      <c r="B35" s="11">
        <v>1</v>
      </c>
      <c r="C35" s="15"/>
      <c r="D35" s="15"/>
      <c r="E35" s="11"/>
      <c r="F35" s="15"/>
      <c r="G35" s="16"/>
      <c r="H35" s="11"/>
    </row>
    <row r="36" spans="1:8" x14ac:dyDescent="0.15">
      <c r="A36" s="11"/>
      <c r="B36" s="11">
        <v>2</v>
      </c>
      <c r="C36" s="15"/>
      <c r="D36" s="15"/>
      <c r="E36" s="11"/>
      <c r="F36" s="15"/>
      <c r="G36" s="16"/>
      <c r="H36" s="11"/>
    </row>
    <row r="37" spans="1:8" x14ac:dyDescent="0.15">
      <c r="A37" s="11"/>
      <c r="B37" s="11">
        <v>3</v>
      </c>
      <c r="C37" s="15"/>
      <c r="D37" s="15"/>
      <c r="E37" s="11"/>
      <c r="F37" s="15"/>
      <c r="G37" s="16"/>
      <c r="H37" s="11"/>
    </row>
    <row r="38" spans="1:8" x14ac:dyDescent="0.15">
      <c r="A38" s="11"/>
      <c r="B38" s="11">
        <v>4</v>
      </c>
      <c r="C38" s="15"/>
      <c r="D38" s="15"/>
      <c r="E38" s="11"/>
      <c r="F38" s="15"/>
      <c r="G38" s="16"/>
      <c r="H38" s="11"/>
    </row>
    <row r="39" spans="1:8" x14ac:dyDescent="0.15">
      <c r="A39" s="11"/>
      <c r="B39" s="11">
        <v>5</v>
      </c>
      <c r="C39" s="15"/>
      <c r="D39" s="15"/>
      <c r="E39" s="11"/>
      <c r="F39" s="15"/>
      <c r="G39" s="16"/>
      <c r="H39" s="11"/>
    </row>
    <row r="40" spans="1:8" x14ac:dyDescent="0.15">
      <c r="A40" s="11"/>
      <c r="B40" s="11">
        <v>6</v>
      </c>
      <c r="C40" s="15"/>
      <c r="D40" s="15"/>
      <c r="E40" s="11"/>
      <c r="F40" s="15"/>
      <c r="G40" s="16"/>
      <c r="H40" s="11"/>
    </row>
    <row r="41" spans="1:8" x14ac:dyDescent="0.15">
      <c r="A41" s="11" t="s">
        <v>365</v>
      </c>
      <c r="B41" s="11"/>
      <c r="C41" s="11"/>
      <c r="D41" s="11"/>
      <c r="E41" s="11"/>
      <c r="F41" s="11"/>
      <c r="G41" s="11"/>
      <c r="H41" s="11"/>
    </row>
    <row r="42" spans="1:8" x14ac:dyDescent="0.15">
      <c r="A42" s="11"/>
      <c r="B42" s="11" t="s">
        <v>363</v>
      </c>
      <c r="C42" s="11"/>
      <c r="D42" s="11"/>
      <c r="E42" s="11">
        <v>10</v>
      </c>
      <c r="F42" s="11"/>
      <c r="G42" s="11"/>
      <c r="H42" s="11"/>
    </row>
    <row r="43" spans="1:8" x14ac:dyDescent="0.15">
      <c r="A43" s="11"/>
      <c r="B43" s="11"/>
      <c r="C43" s="11" t="s">
        <v>135</v>
      </c>
      <c r="D43" s="11">
        <v>1</v>
      </c>
      <c r="E43" s="11">
        <v>1</v>
      </c>
      <c r="F43" s="15"/>
      <c r="G43" s="11"/>
      <c r="H43" s="11"/>
    </row>
    <row r="44" spans="1:8" x14ac:dyDescent="0.15">
      <c r="A44" s="11"/>
      <c r="B44" s="11"/>
      <c r="C44" s="11" t="s">
        <v>136</v>
      </c>
      <c r="D44" s="11">
        <v>1</v>
      </c>
      <c r="E44" s="11">
        <v>1</v>
      </c>
      <c r="F44" s="15"/>
      <c r="G44" s="11"/>
      <c r="H44" s="11"/>
    </row>
    <row r="45" spans="1:8" x14ac:dyDescent="0.15">
      <c r="A45" s="11"/>
      <c r="B45" s="11"/>
      <c r="C45" s="11" t="s">
        <v>137</v>
      </c>
      <c r="D45" s="11">
        <v>1</v>
      </c>
      <c r="E45" s="11">
        <v>1</v>
      </c>
      <c r="F45" s="15"/>
      <c r="G45" s="11"/>
      <c r="H45" s="11"/>
    </row>
    <row r="46" spans="1:8" x14ac:dyDescent="0.15">
      <c r="A46" s="11"/>
      <c r="B46" s="11"/>
      <c r="C46" s="11" t="s">
        <v>138</v>
      </c>
      <c r="D46" s="11">
        <v>1</v>
      </c>
      <c r="E46" s="11">
        <v>1</v>
      </c>
      <c r="F46" s="15"/>
      <c r="G46" s="11"/>
      <c r="H46" s="11"/>
    </row>
    <row r="47" spans="1:8" x14ac:dyDescent="0.15">
      <c r="A47" s="11"/>
      <c r="B47" s="11"/>
      <c r="C47" s="11" t="s">
        <v>139</v>
      </c>
      <c r="D47" s="11">
        <v>1</v>
      </c>
      <c r="E47" s="11">
        <v>1</v>
      </c>
      <c r="F47" s="15"/>
      <c r="G47" s="11"/>
      <c r="H47" s="11"/>
    </row>
    <row r="48" spans="1:8" x14ac:dyDescent="0.15">
      <c r="A48" s="11"/>
      <c r="B48" s="11"/>
      <c r="C48" s="11" t="s">
        <v>140</v>
      </c>
      <c r="D48" s="11">
        <v>1</v>
      </c>
      <c r="E48" s="11">
        <v>1</v>
      </c>
      <c r="F48" s="15"/>
      <c r="G48" s="11"/>
      <c r="H48" s="11"/>
    </row>
    <row r="49" spans="1:8" x14ac:dyDescent="0.15">
      <c r="A49" s="11"/>
      <c r="B49" s="11"/>
      <c r="C49" s="11" t="s">
        <v>141</v>
      </c>
      <c r="D49" s="11">
        <v>1</v>
      </c>
      <c r="E49" s="11">
        <v>1</v>
      </c>
      <c r="F49" s="15"/>
      <c r="G49" s="11"/>
      <c r="H49" s="11"/>
    </row>
    <row r="50" spans="1:8" x14ac:dyDescent="0.15">
      <c r="A50" s="11"/>
      <c r="B50" s="11"/>
      <c r="C50" s="11" t="s">
        <v>52</v>
      </c>
      <c r="D50" s="11">
        <v>1</v>
      </c>
      <c r="E50" s="11">
        <v>1</v>
      </c>
      <c r="F50" s="15"/>
      <c r="G50" s="11"/>
      <c r="H50" s="11"/>
    </row>
    <row r="51" spans="1:8" x14ac:dyDescent="0.15">
      <c r="A51" s="11"/>
      <c r="B51" s="11"/>
      <c r="C51" s="11" t="s">
        <v>142</v>
      </c>
      <c r="D51" s="11">
        <v>1</v>
      </c>
      <c r="E51" s="11">
        <v>1</v>
      </c>
      <c r="F51" s="15"/>
      <c r="G51" s="11"/>
      <c r="H51" s="11"/>
    </row>
    <row r="52" spans="1:8" x14ac:dyDescent="0.15">
      <c r="A52" s="11"/>
      <c r="B52" s="11"/>
      <c r="C52" s="11" t="s">
        <v>143</v>
      </c>
      <c r="D52" s="11">
        <v>1</v>
      </c>
      <c r="E52" s="11">
        <v>1</v>
      </c>
      <c r="F52" s="15"/>
      <c r="G52" s="11"/>
      <c r="H52" s="11"/>
    </row>
    <row r="53" spans="1:8" x14ac:dyDescent="0.15">
      <c r="A53" s="11"/>
      <c r="B53" s="11" t="s">
        <v>377</v>
      </c>
      <c r="C53" s="11"/>
      <c r="D53" s="11"/>
      <c r="E53" s="11">
        <v>2</v>
      </c>
      <c r="F53" s="11"/>
      <c r="G53" s="11"/>
      <c r="H53" s="11"/>
    </row>
    <row r="54" spans="1:8" x14ac:dyDescent="0.15">
      <c r="A54" s="11"/>
      <c r="B54" s="11">
        <v>1</v>
      </c>
      <c r="C54" s="15"/>
      <c r="D54" s="15"/>
      <c r="E54" s="11"/>
      <c r="F54" s="15"/>
      <c r="G54" s="11"/>
      <c r="H54" s="11"/>
    </row>
    <row r="55" spans="1:8" x14ac:dyDescent="0.15">
      <c r="A55" s="11"/>
      <c r="B55" s="11">
        <v>2</v>
      </c>
      <c r="C55" s="15"/>
      <c r="D55" s="15"/>
      <c r="E55" s="11"/>
      <c r="F55" s="15"/>
      <c r="G55" s="11"/>
      <c r="H55" s="11"/>
    </row>
    <row r="56" spans="1:8" x14ac:dyDescent="0.15">
      <c r="A56" s="11"/>
      <c r="B56" s="11" t="s">
        <v>362</v>
      </c>
      <c r="C56" s="11"/>
      <c r="D56" s="11"/>
      <c r="E56" s="11">
        <v>12</v>
      </c>
      <c r="F56" s="11"/>
      <c r="G56" s="11"/>
      <c r="H56" s="11"/>
    </row>
    <row r="57" spans="1:8" x14ac:dyDescent="0.15">
      <c r="A57" s="11"/>
      <c r="B57" s="11">
        <v>1</v>
      </c>
      <c r="C57" s="15"/>
      <c r="D57" s="18">
        <v>1</v>
      </c>
      <c r="E57" s="11"/>
      <c r="F57" s="15"/>
      <c r="G57" s="11"/>
      <c r="H57" s="11"/>
    </row>
    <row r="58" spans="1:8" x14ac:dyDescent="0.15">
      <c r="A58" s="11"/>
      <c r="B58" s="11">
        <v>2</v>
      </c>
      <c r="C58" s="15"/>
      <c r="D58" s="18">
        <v>1</v>
      </c>
      <c r="E58" s="11"/>
      <c r="F58" s="15"/>
      <c r="G58" s="11"/>
      <c r="H58" s="11"/>
    </row>
    <row r="59" spans="1:8" x14ac:dyDescent="0.15">
      <c r="A59" s="11"/>
      <c r="B59" s="11">
        <v>3</v>
      </c>
      <c r="C59" s="15"/>
      <c r="D59" s="18">
        <v>1</v>
      </c>
      <c r="E59" s="11"/>
      <c r="F59" s="15"/>
      <c r="G59" s="11"/>
      <c r="H59" s="11"/>
    </row>
    <row r="60" spans="1:8" x14ac:dyDescent="0.15">
      <c r="A60" s="11"/>
      <c r="B60" s="11">
        <v>4</v>
      </c>
      <c r="C60" s="15"/>
      <c r="D60" s="18">
        <v>1</v>
      </c>
      <c r="E60" s="11"/>
      <c r="F60" s="15"/>
      <c r="G60" s="11"/>
      <c r="H60" s="11"/>
    </row>
    <row r="61" spans="1:8" x14ac:dyDescent="0.15">
      <c r="A61" s="11"/>
      <c r="B61" s="11">
        <v>5</v>
      </c>
      <c r="C61" s="15"/>
      <c r="D61" s="18">
        <v>1</v>
      </c>
      <c r="E61" s="11"/>
      <c r="F61" s="15"/>
      <c r="G61" s="11"/>
      <c r="H61" s="11"/>
    </row>
    <row r="62" spans="1:8" x14ac:dyDescent="0.15">
      <c r="A62" s="11"/>
      <c r="B62" s="11">
        <v>6</v>
      </c>
      <c r="C62" s="15"/>
      <c r="D62" s="18">
        <v>1</v>
      </c>
      <c r="E62" s="11"/>
      <c r="F62" s="15"/>
      <c r="G62" s="11"/>
      <c r="H62" s="11"/>
    </row>
    <row r="63" spans="1:8" x14ac:dyDescent="0.15">
      <c r="A63" s="11"/>
      <c r="B63" s="11">
        <v>7</v>
      </c>
      <c r="C63" s="15"/>
      <c r="D63" s="18">
        <v>1</v>
      </c>
      <c r="E63" s="11"/>
      <c r="F63" s="15"/>
      <c r="G63" s="11"/>
      <c r="H63" s="11"/>
    </row>
    <row r="64" spans="1:8" x14ac:dyDescent="0.15">
      <c r="A64" s="11"/>
      <c r="B64" s="11">
        <v>8</v>
      </c>
      <c r="C64" s="15"/>
      <c r="D64" s="18">
        <v>1</v>
      </c>
      <c r="E64" s="11"/>
      <c r="F64" s="15"/>
      <c r="G64" s="11"/>
      <c r="H64" s="11"/>
    </row>
    <row r="65" spans="1:8" x14ac:dyDescent="0.15">
      <c r="A65" s="11"/>
      <c r="B65" s="11">
        <v>9</v>
      </c>
      <c r="C65" s="15"/>
      <c r="D65" s="18">
        <v>1</v>
      </c>
      <c r="E65" s="11"/>
      <c r="F65" s="15"/>
      <c r="G65" s="11"/>
      <c r="H65" s="11"/>
    </row>
    <row r="66" spans="1:8" x14ac:dyDescent="0.15">
      <c r="A66" s="11"/>
      <c r="B66" s="11">
        <v>10</v>
      </c>
      <c r="C66" s="15"/>
      <c r="D66" s="18">
        <v>1</v>
      </c>
      <c r="E66" s="11"/>
      <c r="F66" s="15"/>
      <c r="G66" s="11"/>
      <c r="H66" s="11"/>
    </row>
    <row r="67" spans="1:8" x14ac:dyDescent="0.15">
      <c r="A67" s="11"/>
      <c r="B67" s="11">
        <v>11</v>
      </c>
      <c r="C67" s="15"/>
      <c r="D67" s="18">
        <v>1</v>
      </c>
      <c r="E67" s="11"/>
      <c r="F67" s="15"/>
      <c r="G67" s="11"/>
      <c r="H67" s="11"/>
    </row>
    <row r="68" spans="1:8" x14ac:dyDescent="0.15">
      <c r="A68" s="11"/>
      <c r="B68" s="11">
        <v>12</v>
      </c>
      <c r="C68" s="15"/>
      <c r="D68" s="18">
        <v>1</v>
      </c>
      <c r="E68" s="11"/>
      <c r="F68" s="15"/>
      <c r="G68" s="11"/>
      <c r="H68" s="11"/>
    </row>
    <row r="69" spans="1:8" x14ac:dyDescent="0.15">
      <c r="A69" s="11"/>
      <c r="B69" s="11" t="s">
        <v>376</v>
      </c>
      <c r="C69" s="11"/>
      <c r="D69" s="11"/>
      <c r="E69" s="11">
        <v>4</v>
      </c>
      <c r="F69" s="11"/>
      <c r="G69" s="11"/>
      <c r="H69" s="11"/>
    </row>
    <row r="70" spans="1:8" x14ac:dyDescent="0.15">
      <c r="A70" s="11"/>
      <c r="B70" s="11">
        <v>1</v>
      </c>
      <c r="C70" s="18"/>
      <c r="D70" s="18"/>
      <c r="E70" s="11"/>
      <c r="F70" s="15"/>
      <c r="G70" s="11"/>
      <c r="H70" s="11"/>
    </row>
    <row r="71" spans="1:8" x14ac:dyDescent="0.15">
      <c r="A71" s="11"/>
      <c r="B71" s="11">
        <v>2</v>
      </c>
      <c r="C71" s="18"/>
      <c r="D71" s="18"/>
      <c r="E71" s="11"/>
      <c r="F71" s="15"/>
      <c r="G71" s="11"/>
      <c r="H71" s="11"/>
    </row>
    <row r="72" spans="1:8" x14ac:dyDescent="0.15">
      <c r="A72" s="11"/>
      <c r="B72" s="11">
        <v>3</v>
      </c>
      <c r="C72" s="18"/>
      <c r="D72" s="18"/>
      <c r="E72" s="11"/>
      <c r="F72" s="15"/>
      <c r="G72" s="11"/>
      <c r="H72" s="11"/>
    </row>
    <row r="73" spans="1:8" x14ac:dyDescent="0.15">
      <c r="A73" s="11"/>
      <c r="B73" s="11">
        <v>4</v>
      </c>
      <c r="C73" s="18"/>
      <c r="D73" s="18"/>
      <c r="E73" s="11"/>
      <c r="F73" s="15"/>
      <c r="G73" s="11"/>
      <c r="H73" s="11"/>
    </row>
    <row r="74" spans="1:8" x14ac:dyDescent="0.15">
      <c r="A74" s="11"/>
      <c r="B74" s="11" t="s">
        <v>417</v>
      </c>
      <c r="C74" s="11"/>
      <c r="D74" s="11"/>
      <c r="E74" s="11"/>
      <c r="F74" s="11"/>
      <c r="G74" s="11" t="s">
        <v>351</v>
      </c>
      <c r="H74" s="11"/>
    </row>
    <row r="75" spans="1:8" x14ac:dyDescent="0.15">
      <c r="A75" s="11"/>
      <c r="B75" s="11">
        <v>1</v>
      </c>
      <c r="C75" s="15"/>
      <c r="D75" s="15"/>
      <c r="E75" s="11"/>
      <c r="F75" s="15"/>
      <c r="G75" s="16"/>
      <c r="H75" s="11"/>
    </row>
    <row r="76" spans="1:8" x14ac:dyDescent="0.15">
      <c r="A76" s="11"/>
      <c r="B76" s="11">
        <v>2</v>
      </c>
      <c r="C76" s="15"/>
      <c r="D76" s="15"/>
      <c r="E76" s="11"/>
      <c r="F76" s="15"/>
      <c r="G76" s="16"/>
      <c r="H76" s="11"/>
    </row>
    <row r="77" spans="1:8" x14ac:dyDescent="0.15">
      <c r="A77" s="11"/>
      <c r="B77" s="11">
        <v>3</v>
      </c>
      <c r="C77" s="15"/>
      <c r="D77" s="15"/>
      <c r="E77" s="11"/>
      <c r="F77" s="15"/>
      <c r="G77" s="16"/>
      <c r="H77" s="11"/>
    </row>
    <row r="78" spans="1:8" x14ac:dyDescent="0.15">
      <c r="A78" s="11"/>
      <c r="B78" s="11">
        <v>4</v>
      </c>
      <c r="C78" s="15"/>
      <c r="D78" s="15"/>
      <c r="E78" s="11"/>
      <c r="F78" s="15"/>
      <c r="G78" s="16"/>
      <c r="H78" s="11"/>
    </row>
    <row r="79" spans="1:8" x14ac:dyDescent="0.15">
      <c r="A79" s="11"/>
      <c r="B79" s="11" t="s">
        <v>419</v>
      </c>
      <c r="C79" s="11"/>
      <c r="D79" s="11"/>
      <c r="E79" s="11"/>
      <c r="F79" s="11"/>
      <c r="G79" s="11"/>
      <c r="H79" s="11" t="s">
        <v>261</v>
      </c>
    </row>
    <row r="80" spans="1:8" x14ac:dyDescent="0.15">
      <c r="A80" s="11"/>
      <c r="B80" s="11">
        <v>1</v>
      </c>
      <c r="C80" s="15"/>
      <c r="D80" s="15"/>
      <c r="E80" s="11"/>
      <c r="F80" s="15"/>
      <c r="G80" s="11"/>
      <c r="H80" s="17"/>
    </row>
    <row r="81" spans="1:8" x14ac:dyDescent="0.15">
      <c r="A81" s="11"/>
      <c r="B81" s="11">
        <v>2</v>
      </c>
      <c r="C81" s="15"/>
      <c r="D81" s="15"/>
      <c r="E81" s="11"/>
      <c r="F81" s="15"/>
      <c r="G81" s="11"/>
      <c r="H81" s="17"/>
    </row>
    <row r="82" spans="1:8" x14ac:dyDescent="0.15">
      <c r="A82" s="11" t="s">
        <v>378</v>
      </c>
      <c r="B82" s="11"/>
      <c r="C82" s="11" t="s">
        <v>280</v>
      </c>
      <c r="D82" s="11">
        <v>1</v>
      </c>
      <c r="E82" s="11">
        <v>1</v>
      </c>
      <c r="F82" s="15"/>
      <c r="G82" s="11"/>
      <c r="H82" s="11"/>
    </row>
    <row r="83" spans="1:8" x14ac:dyDescent="0.15">
      <c r="A83" s="11" t="s">
        <v>379</v>
      </c>
      <c r="B83" s="11"/>
      <c r="C83" s="11" t="s">
        <v>281</v>
      </c>
      <c r="D83" s="11">
        <v>1</v>
      </c>
      <c r="E83" s="11">
        <v>1</v>
      </c>
      <c r="F83" s="15"/>
      <c r="G83" s="11" t="s">
        <v>262</v>
      </c>
      <c r="H83" s="11"/>
    </row>
    <row r="84" spans="1:8" x14ac:dyDescent="0.15">
      <c r="A84" s="11"/>
      <c r="B84" s="11">
        <v>1</v>
      </c>
      <c r="C84" s="15"/>
      <c r="D84" s="15"/>
      <c r="E84" s="11"/>
      <c r="F84" s="15"/>
      <c r="G84" s="16"/>
      <c r="H84" s="11"/>
    </row>
    <row r="85" spans="1:8" x14ac:dyDescent="0.15">
      <c r="A85" s="11"/>
      <c r="B85" s="11">
        <v>2</v>
      </c>
      <c r="C85" s="15"/>
      <c r="D85" s="15"/>
      <c r="E85" s="11"/>
      <c r="F85" s="15"/>
      <c r="G85" s="16"/>
      <c r="H85" s="11"/>
    </row>
    <row r="86" spans="1:8" x14ac:dyDescent="0.15">
      <c r="A86" s="11"/>
      <c r="B86" s="11">
        <v>3</v>
      </c>
      <c r="C86" s="15"/>
      <c r="D86" s="15"/>
      <c r="E86" s="11"/>
      <c r="F86" s="15"/>
      <c r="G86" s="16"/>
      <c r="H86" s="11"/>
    </row>
    <row r="87" spans="1:8" x14ac:dyDescent="0.15">
      <c r="A87" s="11"/>
      <c r="B87" s="11">
        <v>4</v>
      </c>
      <c r="C87" s="15"/>
      <c r="D87" s="15"/>
      <c r="E87" s="11"/>
      <c r="F87" s="15"/>
      <c r="G87" s="16"/>
      <c r="H87" s="11"/>
    </row>
    <row r="88" spans="1:8" x14ac:dyDescent="0.15">
      <c r="A88" s="11" t="s">
        <v>375</v>
      </c>
      <c r="B88" s="11"/>
      <c r="C88" s="11"/>
      <c r="D88" s="11"/>
      <c r="E88" s="11"/>
      <c r="F88" s="11"/>
      <c r="G88" s="11" t="s">
        <v>352</v>
      </c>
      <c r="H88" s="11" t="s">
        <v>353</v>
      </c>
    </row>
    <row r="89" spans="1:8" x14ac:dyDescent="0.15">
      <c r="A89" s="11"/>
      <c r="B89" s="11">
        <v>1</v>
      </c>
      <c r="C89" s="15"/>
      <c r="D89" s="15"/>
      <c r="E89" s="11"/>
      <c r="F89" s="18"/>
      <c r="G89" s="16"/>
      <c r="H89" s="17"/>
    </row>
    <row r="90" spans="1:8" x14ac:dyDescent="0.15">
      <c r="A90" s="11"/>
      <c r="B90" s="11">
        <v>2</v>
      </c>
      <c r="C90" s="15"/>
      <c r="D90" s="15"/>
      <c r="E90" s="11"/>
      <c r="F90" s="18"/>
      <c r="G90" s="16"/>
      <c r="H90" s="17"/>
    </row>
    <row r="91" spans="1:8" x14ac:dyDescent="0.15">
      <c r="A91" s="11"/>
      <c r="B91" s="11">
        <v>3</v>
      </c>
      <c r="C91" s="15"/>
      <c r="D91" s="15"/>
      <c r="E91" s="11"/>
      <c r="F91" s="18"/>
      <c r="G91" s="16"/>
      <c r="H91" s="17"/>
    </row>
    <row r="92" spans="1:8" x14ac:dyDescent="0.15">
      <c r="A92" s="11"/>
      <c r="B92" s="11">
        <v>4</v>
      </c>
      <c r="C92" s="15"/>
      <c r="D92" s="15"/>
      <c r="E92" s="11"/>
      <c r="F92" s="18"/>
      <c r="G92" s="16"/>
      <c r="H92" s="17"/>
    </row>
    <row r="93" spans="1:8" x14ac:dyDescent="0.15">
      <c r="A93" s="11"/>
      <c r="B93" s="11">
        <v>5</v>
      </c>
      <c r="C93" s="15"/>
      <c r="D93" s="15"/>
      <c r="E93" s="11"/>
      <c r="F93" s="18"/>
      <c r="G93" s="16"/>
      <c r="H93" s="17"/>
    </row>
    <row r="94" spans="1:8" x14ac:dyDescent="0.15">
      <c r="A94" s="11"/>
      <c r="B94" s="11">
        <v>6</v>
      </c>
      <c r="C94" s="15"/>
      <c r="D94" s="15"/>
      <c r="E94" s="11"/>
      <c r="F94" s="18"/>
      <c r="G94" s="16"/>
      <c r="H94" s="17"/>
    </row>
    <row r="95" spans="1:8" x14ac:dyDescent="0.15">
      <c r="A95" s="11" t="s">
        <v>374</v>
      </c>
      <c r="B95" s="11"/>
      <c r="C95" s="11"/>
      <c r="D95" s="11"/>
      <c r="E95" s="11">
        <v>2</v>
      </c>
      <c r="F95" s="18"/>
      <c r="G95" s="11"/>
      <c r="H95" s="11"/>
    </row>
    <row r="96" spans="1:8" x14ac:dyDescent="0.15">
      <c r="A96" s="11"/>
      <c r="B96" s="11">
        <v>1</v>
      </c>
      <c r="C96" s="15"/>
      <c r="D96" s="15"/>
      <c r="E96" s="11"/>
      <c r="F96" s="15"/>
      <c r="G96" s="11"/>
      <c r="H96" s="11"/>
    </row>
    <row r="97" spans="1:8" x14ac:dyDescent="0.15">
      <c r="A97" s="11"/>
      <c r="B97" s="11">
        <v>2</v>
      </c>
      <c r="C97" s="15"/>
      <c r="D97" s="15"/>
      <c r="E97" s="11"/>
      <c r="F97" s="15"/>
      <c r="G97" s="11"/>
      <c r="H97" s="11"/>
    </row>
    <row r="98" spans="1:8" x14ac:dyDescent="0.15">
      <c r="A98" s="11"/>
      <c r="B98" s="11" t="s">
        <v>420</v>
      </c>
      <c r="C98" s="11"/>
      <c r="D98" s="11"/>
      <c r="E98" s="11"/>
      <c r="F98" s="11"/>
      <c r="G98" s="11" t="s">
        <v>354</v>
      </c>
      <c r="H98" s="11" t="s">
        <v>355</v>
      </c>
    </row>
    <row r="99" spans="1:8" x14ac:dyDescent="0.15">
      <c r="A99" s="11"/>
      <c r="B99" s="11">
        <v>1</v>
      </c>
      <c r="C99" s="15"/>
      <c r="D99" s="15"/>
      <c r="E99" s="11">
        <v>1</v>
      </c>
      <c r="F99" s="18"/>
      <c r="G99" s="16"/>
      <c r="H99" s="17"/>
    </row>
    <row r="100" spans="1:8" x14ac:dyDescent="0.15">
      <c r="A100" s="11"/>
      <c r="B100" s="11">
        <v>2</v>
      </c>
      <c r="C100" s="15"/>
      <c r="D100" s="15"/>
      <c r="E100" s="11"/>
      <c r="F100" s="18"/>
      <c r="G100" s="16"/>
      <c r="H100" s="17"/>
    </row>
    <row r="101" spans="1:8" x14ac:dyDescent="0.15">
      <c r="A101" s="11"/>
      <c r="B101" s="11">
        <v>3</v>
      </c>
      <c r="C101" s="15"/>
      <c r="D101" s="15"/>
      <c r="E101" s="11"/>
      <c r="F101" s="18"/>
      <c r="G101" s="16"/>
      <c r="H101" s="17"/>
    </row>
    <row r="102" spans="1:8" x14ac:dyDescent="0.15">
      <c r="A102" s="11"/>
      <c r="B102" s="11">
        <v>4</v>
      </c>
      <c r="C102" s="15"/>
      <c r="D102" s="15"/>
      <c r="E102" s="11"/>
      <c r="F102" s="18"/>
      <c r="G102" s="16"/>
      <c r="H102" s="17"/>
    </row>
    <row r="103" spans="1:8" x14ac:dyDescent="0.15">
      <c r="A103" s="11"/>
      <c r="B103" s="11">
        <v>5</v>
      </c>
      <c r="C103" s="15"/>
      <c r="D103" s="15"/>
      <c r="E103" s="11"/>
      <c r="F103" s="18"/>
      <c r="G103" s="16"/>
      <c r="H103" s="17"/>
    </row>
    <row r="104" spans="1:8" x14ac:dyDescent="0.15">
      <c r="A104" s="11"/>
      <c r="B104" s="18">
        <v>6</v>
      </c>
      <c r="C104" s="15"/>
      <c r="D104" s="15"/>
      <c r="E104" s="11"/>
      <c r="F104" s="18"/>
      <c r="G104" s="16"/>
      <c r="H104" s="17"/>
    </row>
    <row r="106" spans="1:8" x14ac:dyDescent="0.15">
      <c r="A106" s="11" t="s">
        <v>380</v>
      </c>
      <c r="B106" s="11"/>
      <c r="C106" s="11"/>
      <c r="D106" s="11"/>
      <c r="E106" s="11"/>
      <c r="F106" s="11"/>
      <c r="G106" s="11" t="s">
        <v>356</v>
      </c>
      <c r="H106" s="11" t="s">
        <v>357</v>
      </c>
    </row>
    <row r="107" spans="1:8" x14ac:dyDescent="0.15">
      <c r="A107" s="11"/>
      <c r="B107" s="11">
        <v>1</v>
      </c>
      <c r="C107" s="15"/>
      <c r="D107" s="15"/>
      <c r="E107" s="11"/>
      <c r="F107" s="18"/>
      <c r="G107" s="16"/>
      <c r="H107" s="17"/>
    </row>
    <row r="108" spans="1:8" x14ac:dyDescent="0.15">
      <c r="A108" s="11"/>
      <c r="B108" s="11">
        <v>2</v>
      </c>
      <c r="C108" s="15"/>
      <c r="D108" s="15"/>
      <c r="E108" s="11"/>
      <c r="F108" s="18"/>
      <c r="G108" s="16"/>
      <c r="H108" s="17"/>
    </row>
    <row r="109" spans="1:8" x14ac:dyDescent="0.15">
      <c r="A109" s="11"/>
      <c r="B109" s="11">
        <v>3</v>
      </c>
      <c r="C109" s="15"/>
      <c r="D109" s="15"/>
      <c r="E109" s="11"/>
      <c r="F109" s="18"/>
      <c r="G109" s="16"/>
      <c r="H109" s="17"/>
    </row>
    <row r="110" spans="1:8" x14ac:dyDescent="0.15">
      <c r="A110" s="11"/>
      <c r="B110" s="11">
        <v>4</v>
      </c>
      <c r="C110" s="15"/>
      <c r="D110" s="15"/>
      <c r="E110" s="11"/>
      <c r="F110" s="18"/>
      <c r="G110" s="16"/>
      <c r="H110" s="17"/>
    </row>
    <row r="111" spans="1:8" x14ac:dyDescent="0.15">
      <c r="A111" s="11"/>
      <c r="B111" s="11">
        <v>5</v>
      </c>
      <c r="C111" s="15"/>
      <c r="D111" s="15"/>
      <c r="E111" s="11"/>
      <c r="F111" s="18"/>
      <c r="G111" s="16"/>
      <c r="H111" s="17"/>
    </row>
    <row r="112" spans="1:8" x14ac:dyDescent="0.15">
      <c r="A112" s="11"/>
      <c r="B112" s="11">
        <v>6</v>
      </c>
      <c r="C112" s="15"/>
      <c r="D112" s="15"/>
      <c r="E112" s="11"/>
      <c r="F112" s="18"/>
      <c r="G112" s="16"/>
      <c r="H112" s="17"/>
    </row>
    <row r="113" spans="1:8" x14ac:dyDescent="0.15">
      <c r="A113" s="1"/>
      <c r="B113" s="1"/>
      <c r="C113" s="4"/>
      <c r="D113" s="4"/>
      <c r="E113" s="4"/>
      <c r="F113" s="4"/>
      <c r="G113" s="4"/>
      <c r="H113" s="4"/>
    </row>
    <row r="114" spans="1:8" x14ac:dyDescent="0.15">
      <c r="A114" s="3" t="s">
        <v>159</v>
      </c>
    </row>
    <row r="115" spans="1:8" ht="48" x14ac:dyDescent="0.15">
      <c r="A115" s="24" t="s">
        <v>336</v>
      </c>
      <c r="B115" s="5"/>
      <c r="C115" s="25" t="s">
        <v>338</v>
      </c>
      <c r="D115" s="26" t="s">
        <v>340</v>
      </c>
      <c r="E115" s="13" t="s">
        <v>342</v>
      </c>
      <c r="F115" s="13" t="s">
        <v>348</v>
      </c>
      <c r="G115" s="27" t="s">
        <v>344</v>
      </c>
      <c r="H115" s="28" t="s">
        <v>346</v>
      </c>
    </row>
    <row r="116" spans="1:8" x14ac:dyDescent="0.15">
      <c r="A116" s="11" t="s">
        <v>385</v>
      </c>
      <c r="B116" s="11"/>
      <c r="C116" s="11"/>
      <c r="D116" s="11"/>
      <c r="E116" s="11">
        <v>7</v>
      </c>
      <c r="F116" s="11"/>
      <c r="G116" s="11"/>
      <c r="H116" s="11"/>
    </row>
    <row r="117" spans="1:8" x14ac:dyDescent="0.15">
      <c r="A117" s="11"/>
      <c r="B117" s="11"/>
      <c r="C117" s="11" t="s">
        <v>288</v>
      </c>
      <c r="D117" s="11">
        <v>1</v>
      </c>
      <c r="E117" s="11"/>
      <c r="F117" s="15"/>
      <c r="G117" s="11"/>
      <c r="H117" s="11"/>
    </row>
    <row r="118" spans="1:8" x14ac:dyDescent="0.15">
      <c r="A118" s="11"/>
      <c r="B118" s="11"/>
      <c r="C118" s="11" t="s">
        <v>289</v>
      </c>
      <c r="D118" s="11">
        <v>1</v>
      </c>
      <c r="E118" s="11"/>
      <c r="F118" s="15"/>
      <c r="G118" s="11"/>
      <c r="H118" s="11"/>
    </row>
    <row r="119" spans="1:8" x14ac:dyDescent="0.15">
      <c r="A119" s="11"/>
      <c r="B119" s="11"/>
      <c r="C119" s="11" t="s">
        <v>290</v>
      </c>
      <c r="D119" s="11">
        <v>1</v>
      </c>
      <c r="E119" s="11"/>
      <c r="F119" s="15"/>
      <c r="G119" s="11"/>
      <c r="H119" s="11"/>
    </row>
    <row r="120" spans="1:8" x14ac:dyDescent="0.15">
      <c r="A120" s="11"/>
      <c r="B120" s="11"/>
      <c r="C120" s="11" t="s">
        <v>291</v>
      </c>
      <c r="D120" s="11">
        <v>1</v>
      </c>
      <c r="E120" s="11"/>
      <c r="F120" s="15"/>
      <c r="G120" s="11"/>
      <c r="H120" s="11"/>
    </row>
    <row r="121" spans="1:8" x14ac:dyDescent="0.15">
      <c r="A121" s="11"/>
      <c r="B121" s="11"/>
      <c r="C121" s="11" t="s">
        <v>292</v>
      </c>
      <c r="D121" s="11">
        <v>1</v>
      </c>
      <c r="E121" s="11"/>
      <c r="F121" s="15"/>
      <c r="G121" s="11"/>
      <c r="H121" s="11"/>
    </row>
    <row r="122" spans="1:8" x14ac:dyDescent="0.15">
      <c r="A122" s="11"/>
      <c r="B122" s="11"/>
      <c r="C122" s="11" t="s">
        <v>293</v>
      </c>
      <c r="D122" s="11">
        <v>1</v>
      </c>
      <c r="E122" s="11"/>
      <c r="F122" s="15"/>
      <c r="G122" s="11"/>
      <c r="H122" s="11"/>
    </row>
    <row r="123" spans="1:8" x14ac:dyDescent="0.15">
      <c r="A123" s="11"/>
      <c r="B123" s="11"/>
      <c r="C123" s="11" t="s">
        <v>294</v>
      </c>
      <c r="D123" s="11">
        <v>1</v>
      </c>
      <c r="E123" s="11"/>
      <c r="F123" s="15"/>
      <c r="G123" s="11"/>
      <c r="H123" s="11"/>
    </row>
    <row r="124" spans="1:8" x14ac:dyDescent="0.15">
      <c r="A124" s="11" t="s">
        <v>384</v>
      </c>
      <c r="B124" s="11"/>
      <c r="C124" s="11"/>
      <c r="D124" s="11"/>
      <c r="E124" s="11">
        <v>28</v>
      </c>
      <c r="F124" s="11"/>
      <c r="G124" s="11"/>
      <c r="H124" s="11"/>
    </row>
    <row r="125" spans="1:8" x14ac:dyDescent="0.15">
      <c r="A125" s="11"/>
      <c r="B125" s="11"/>
      <c r="C125" s="11" t="s">
        <v>373</v>
      </c>
      <c r="D125" s="11">
        <v>2</v>
      </c>
      <c r="E125" s="11">
        <v>2</v>
      </c>
      <c r="F125" s="15"/>
      <c r="G125" s="11"/>
      <c r="H125" s="11"/>
    </row>
    <row r="126" spans="1:8" x14ac:dyDescent="0.15">
      <c r="A126" s="11"/>
      <c r="B126" s="11" t="s">
        <v>381</v>
      </c>
      <c r="C126" s="11"/>
      <c r="D126" s="11"/>
      <c r="E126" s="11">
        <v>2</v>
      </c>
      <c r="F126" s="11"/>
      <c r="G126" s="11"/>
      <c r="H126" s="11"/>
    </row>
    <row r="127" spans="1:8" x14ac:dyDescent="0.15">
      <c r="A127" s="11"/>
      <c r="B127" s="11">
        <v>1</v>
      </c>
      <c r="C127" s="15"/>
      <c r="D127" s="11">
        <v>1</v>
      </c>
      <c r="E127" s="11"/>
      <c r="F127" s="15"/>
      <c r="G127" s="11"/>
      <c r="H127" s="11"/>
    </row>
    <row r="128" spans="1:8" x14ac:dyDescent="0.15">
      <c r="A128" s="11"/>
      <c r="B128" s="11">
        <v>2</v>
      </c>
      <c r="C128" s="15"/>
      <c r="D128" s="11">
        <v>1</v>
      </c>
      <c r="E128" s="11"/>
      <c r="F128" s="15"/>
      <c r="G128" s="11"/>
      <c r="H128" s="11"/>
    </row>
    <row r="129" spans="1:8" x14ac:dyDescent="0.15">
      <c r="A129" s="11"/>
      <c r="B129" s="11" t="s">
        <v>382</v>
      </c>
      <c r="C129" s="11"/>
      <c r="D129" s="11"/>
      <c r="E129" s="11">
        <v>2</v>
      </c>
      <c r="F129" s="11"/>
      <c r="G129" s="11"/>
      <c r="H129" s="11"/>
    </row>
    <row r="130" spans="1:8" x14ac:dyDescent="0.15">
      <c r="A130" s="11"/>
      <c r="B130" s="11">
        <v>1</v>
      </c>
      <c r="C130" s="15"/>
      <c r="D130" s="11">
        <v>1</v>
      </c>
      <c r="E130" s="11"/>
      <c r="F130" s="15"/>
      <c r="G130" s="11"/>
      <c r="H130" s="11"/>
    </row>
    <row r="131" spans="1:8" x14ac:dyDescent="0.15">
      <c r="A131" s="11"/>
      <c r="B131" s="11">
        <v>2</v>
      </c>
      <c r="C131" s="15"/>
      <c r="D131" s="11">
        <v>1</v>
      </c>
      <c r="E131" s="11"/>
      <c r="F131" s="15"/>
      <c r="G131" s="11"/>
      <c r="H131" s="11"/>
    </row>
    <row r="132" spans="1:8" x14ac:dyDescent="0.15">
      <c r="A132" s="11"/>
      <c r="B132" s="11" t="s">
        <v>383</v>
      </c>
      <c r="C132" s="11"/>
      <c r="D132" s="11"/>
      <c r="E132" s="11">
        <v>2</v>
      </c>
      <c r="F132" s="11"/>
      <c r="G132" s="11"/>
      <c r="H132" s="11"/>
    </row>
    <row r="133" spans="1:8" x14ac:dyDescent="0.15">
      <c r="A133" s="11"/>
      <c r="B133" s="11">
        <v>1</v>
      </c>
      <c r="C133" s="15"/>
      <c r="D133" s="11">
        <v>1</v>
      </c>
      <c r="E133" s="11"/>
      <c r="F133" s="15"/>
      <c r="G133" s="11"/>
      <c r="H133" s="11"/>
    </row>
    <row r="134" spans="1:8" x14ac:dyDescent="0.15">
      <c r="A134" s="11"/>
      <c r="B134" s="11">
        <v>2</v>
      </c>
      <c r="C134" s="15"/>
      <c r="D134" s="11">
        <v>1</v>
      </c>
      <c r="E134" s="11"/>
      <c r="F134" s="15"/>
      <c r="G134" s="11"/>
      <c r="H134" s="11"/>
    </row>
    <row r="135" spans="1:8" x14ac:dyDescent="0.15">
      <c r="A135" s="11"/>
      <c r="B135" s="11" t="s">
        <v>417</v>
      </c>
      <c r="C135" s="11"/>
      <c r="D135" s="11"/>
      <c r="E135" s="11">
        <v>20</v>
      </c>
      <c r="F135" s="11"/>
      <c r="G135" s="11"/>
      <c r="H135" s="11"/>
    </row>
    <row r="136" spans="1:8" x14ac:dyDescent="0.15">
      <c r="A136" s="11"/>
      <c r="B136" s="11">
        <v>1</v>
      </c>
      <c r="C136" s="15"/>
      <c r="D136" s="11">
        <v>1</v>
      </c>
      <c r="E136" s="11"/>
      <c r="F136" s="15"/>
      <c r="G136" s="11"/>
      <c r="H136" s="11"/>
    </row>
    <row r="137" spans="1:8" x14ac:dyDescent="0.15">
      <c r="A137" s="11"/>
      <c r="B137" s="11">
        <v>2</v>
      </c>
      <c r="C137" s="15"/>
      <c r="D137" s="11">
        <v>1</v>
      </c>
      <c r="E137" s="11"/>
      <c r="F137" s="15"/>
      <c r="G137" s="11"/>
      <c r="H137" s="11"/>
    </row>
    <row r="138" spans="1:8" x14ac:dyDescent="0.15">
      <c r="A138" s="11"/>
      <c r="B138" s="11">
        <v>3</v>
      </c>
      <c r="C138" s="15"/>
      <c r="D138" s="11">
        <v>1</v>
      </c>
      <c r="E138" s="11"/>
      <c r="F138" s="15"/>
      <c r="G138" s="11"/>
      <c r="H138" s="11"/>
    </row>
    <row r="139" spans="1:8" x14ac:dyDescent="0.15">
      <c r="A139" s="11"/>
      <c r="B139" s="11">
        <v>4</v>
      </c>
      <c r="C139" s="15"/>
      <c r="D139" s="11">
        <v>1</v>
      </c>
      <c r="E139" s="11"/>
      <c r="F139" s="15"/>
      <c r="G139" s="11"/>
      <c r="H139" s="11"/>
    </row>
    <row r="140" spans="1:8" x14ac:dyDescent="0.15">
      <c r="A140" s="11"/>
      <c r="B140" s="11">
        <v>5</v>
      </c>
      <c r="C140" s="15"/>
      <c r="D140" s="11">
        <v>1</v>
      </c>
      <c r="E140" s="11"/>
      <c r="F140" s="15"/>
      <c r="G140" s="11"/>
      <c r="H140" s="11"/>
    </row>
    <row r="141" spans="1:8" x14ac:dyDescent="0.15">
      <c r="A141" s="11"/>
      <c r="B141" s="11">
        <v>6</v>
      </c>
      <c r="C141" s="15"/>
      <c r="D141" s="11">
        <v>1</v>
      </c>
      <c r="E141" s="11"/>
      <c r="F141" s="15"/>
      <c r="G141" s="11"/>
      <c r="H141" s="11"/>
    </row>
    <row r="142" spans="1:8" x14ac:dyDescent="0.15">
      <c r="A142" s="11"/>
      <c r="B142" s="11">
        <v>7</v>
      </c>
      <c r="C142" s="15"/>
      <c r="D142" s="11">
        <v>1</v>
      </c>
      <c r="E142" s="11"/>
      <c r="F142" s="15"/>
      <c r="G142" s="11"/>
      <c r="H142" s="11"/>
    </row>
    <row r="143" spans="1:8" x14ac:dyDescent="0.15">
      <c r="A143" s="11"/>
      <c r="B143" s="11">
        <v>8</v>
      </c>
      <c r="C143" s="15"/>
      <c r="D143" s="11">
        <v>1</v>
      </c>
      <c r="E143" s="11"/>
      <c r="F143" s="15"/>
      <c r="G143" s="11"/>
      <c r="H143" s="11"/>
    </row>
    <row r="144" spans="1:8" x14ac:dyDescent="0.15">
      <c r="A144" s="11"/>
      <c r="B144" s="11">
        <v>9</v>
      </c>
      <c r="C144" s="15"/>
      <c r="D144" s="11">
        <v>1</v>
      </c>
      <c r="E144" s="11"/>
      <c r="F144" s="15"/>
      <c r="G144" s="11"/>
      <c r="H144" s="11"/>
    </row>
    <row r="145" spans="1:8" x14ac:dyDescent="0.15">
      <c r="A145" s="11"/>
      <c r="B145" s="11">
        <v>10</v>
      </c>
      <c r="C145" s="15"/>
      <c r="D145" s="11">
        <v>1</v>
      </c>
      <c r="E145" s="11"/>
      <c r="F145" s="15"/>
      <c r="G145" s="11"/>
      <c r="H145" s="11"/>
    </row>
    <row r="146" spans="1:8" x14ac:dyDescent="0.15">
      <c r="A146" s="11"/>
      <c r="B146" s="11">
        <v>11</v>
      </c>
      <c r="C146" s="15"/>
      <c r="D146" s="11">
        <v>1</v>
      </c>
      <c r="E146" s="11"/>
      <c r="F146" s="15"/>
      <c r="G146" s="11"/>
      <c r="H146" s="11"/>
    </row>
    <row r="147" spans="1:8" x14ac:dyDescent="0.15">
      <c r="A147" s="11"/>
      <c r="B147" s="11">
        <v>12</v>
      </c>
      <c r="C147" s="15"/>
      <c r="D147" s="11">
        <v>1</v>
      </c>
      <c r="E147" s="11"/>
      <c r="F147" s="15"/>
      <c r="G147" s="11"/>
      <c r="H147" s="11"/>
    </row>
    <row r="148" spans="1:8" x14ac:dyDescent="0.15">
      <c r="A148" s="11"/>
      <c r="B148" s="11">
        <v>13</v>
      </c>
      <c r="C148" s="15"/>
      <c r="D148" s="11">
        <v>1</v>
      </c>
      <c r="E148" s="11"/>
      <c r="F148" s="15"/>
      <c r="G148" s="11"/>
      <c r="H148" s="11"/>
    </row>
    <row r="149" spans="1:8" x14ac:dyDescent="0.15">
      <c r="A149" s="11"/>
      <c r="B149" s="11">
        <v>14</v>
      </c>
      <c r="C149" s="15"/>
      <c r="D149" s="11">
        <v>1</v>
      </c>
      <c r="E149" s="11"/>
      <c r="F149" s="15"/>
      <c r="G149" s="11"/>
      <c r="H149" s="11"/>
    </row>
    <row r="150" spans="1:8" x14ac:dyDescent="0.15">
      <c r="A150" s="11"/>
      <c r="B150" s="11">
        <v>15</v>
      </c>
      <c r="C150" s="15"/>
      <c r="D150" s="11">
        <v>1</v>
      </c>
      <c r="E150" s="11"/>
      <c r="F150" s="15"/>
      <c r="G150" s="11"/>
      <c r="H150" s="11"/>
    </row>
    <row r="151" spans="1:8" x14ac:dyDescent="0.15">
      <c r="A151" s="11"/>
      <c r="B151" s="11">
        <v>16</v>
      </c>
      <c r="C151" s="15"/>
      <c r="D151" s="11">
        <v>1</v>
      </c>
      <c r="E151" s="11"/>
      <c r="F151" s="15"/>
      <c r="G151" s="11"/>
      <c r="H151" s="11"/>
    </row>
    <row r="152" spans="1:8" x14ac:dyDescent="0.15">
      <c r="A152" s="11"/>
      <c r="B152" s="11">
        <v>17</v>
      </c>
      <c r="C152" s="15"/>
      <c r="D152" s="11">
        <v>1</v>
      </c>
      <c r="E152" s="11"/>
      <c r="F152" s="15"/>
      <c r="G152" s="11"/>
      <c r="H152" s="11"/>
    </row>
    <row r="153" spans="1:8" x14ac:dyDescent="0.15">
      <c r="A153" s="11"/>
      <c r="B153" s="11">
        <v>18</v>
      </c>
      <c r="C153" s="15"/>
      <c r="D153" s="11">
        <v>1</v>
      </c>
      <c r="E153" s="11"/>
      <c r="F153" s="15"/>
      <c r="G153" s="11"/>
      <c r="H153" s="11"/>
    </row>
    <row r="154" spans="1:8" x14ac:dyDescent="0.15">
      <c r="A154" s="11"/>
      <c r="B154" s="11">
        <v>19</v>
      </c>
      <c r="C154" s="15"/>
      <c r="D154" s="11">
        <v>1</v>
      </c>
      <c r="E154" s="11"/>
      <c r="F154" s="15"/>
      <c r="G154" s="11"/>
      <c r="H154" s="11"/>
    </row>
    <row r="155" spans="1:8" x14ac:dyDescent="0.15">
      <c r="A155" s="11"/>
      <c r="B155" s="11">
        <v>20</v>
      </c>
      <c r="C155" s="15"/>
      <c r="D155" s="11">
        <v>1</v>
      </c>
      <c r="E155" s="11"/>
      <c r="F155" s="15"/>
      <c r="G155" s="11"/>
      <c r="H155" s="11"/>
    </row>
    <row r="156" spans="1:8" x14ac:dyDescent="0.15">
      <c r="A156" s="11"/>
      <c r="B156" s="11" t="s">
        <v>417</v>
      </c>
      <c r="C156" s="11"/>
      <c r="D156" s="11"/>
      <c r="E156" s="11"/>
      <c r="F156" s="11"/>
      <c r="G156" s="11"/>
      <c r="H156" s="11" t="s">
        <v>358</v>
      </c>
    </row>
    <row r="157" spans="1:8" x14ac:dyDescent="0.15">
      <c r="A157" s="11"/>
      <c r="B157" s="11">
        <v>1</v>
      </c>
      <c r="C157" s="15"/>
      <c r="D157" s="18"/>
      <c r="E157" s="11"/>
      <c r="F157" s="18"/>
      <c r="G157" s="11"/>
      <c r="H157" s="17"/>
    </row>
    <row r="158" spans="1:8" x14ac:dyDescent="0.15">
      <c r="A158" s="11"/>
      <c r="B158" s="11">
        <v>2</v>
      </c>
      <c r="C158" s="15"/>
      <c r="D158" s="18"/>
      <c r="E158" s="11"/>
      <c r="F158" s="18"/>
      <c r="G158" s="11"/>
      <c r="H158" s="17"/>
    </row>
    <row r="159" spans="1:8" x14ac:dyDescent="0.15">
      <c r="A159" s="11" t="s">
        <v>387</v>
      </c>
      <c r="B159" s="11"/>
      <c r="C159" s="11"/>
      <c r="D159" s="11"/>
      <c r="E159" s="11">
        <v>8</v>
      </c>
      <c r="F159" s="11"/>
      <c r="G159" s="11"/>
      <c r="H159" s="11"/>
    </row>
    <row r="160" spans="1:8" x14ac:dyDescent="0.15">
      <c r="A160" s="11"/>
      <c r="B160" s="11"/>
      <c r="C160" s="11" t="s">
        <v>371</v>
      </c>
      <c r="D160" s="11">
        <v>2</v>
      </c>
      <c r="E160" s="11"/>
      <c r="F160" s="15"/>
      <c r="G160" s="11"/>
      <c r="H160" s="11"/>
    </row>
    <row r="161" spans="1:8" x14ac:dyDescent="0.15">
      <c r="A161" s="11"/>
      <c r="B161" s="11"/>
      <c r="C161" s="11" t="s">
        <v>372</v>
      </c>
      <c r="D161" s="11">
        <v>1</v>
      </c>
      <c r="E161" s="11"/>
      <c r="F161" s="15"/>
      <c r="G161" s="11"/>
      <c r="H161" s="11"/>
    </row>
    <row r="162" spans="1:8" x14ac:dyDescent="0.15">
      <c r="A162" s="11"/>
      <c r="B162" s="11"/>
      <c r="C162" s="11" t="s">
        <v>372</v>
      </c>
      <c r="D162" s="11">
        <v>1</v>
      </c>
      <c r="E162" s="11"/>
      <c r="F162" s="15"/>
      <c r="G162" s="11"/>
      <c r="H162" s="11"/>
    </row>
    <row r="163" spans="1:8" x14ac:dyDescent="0.15">
      <c r="A163" s="11"/>
      <c r="B163" s="11"/>
      <c r="C163" s="11" t="s">
        <v>372</v>
      </c>
      <c r="D163" s="11">
        <v>1</v>
      </c>
      <c r="E163" s="11"/>
      <c r="F163" s="15"/>
      <c r="G163" s="11"/>
      <c r="H163" s="11"/>
    </row>
    <row r="164" spans="1:8" x14ac:dyDescent="0.15">
      <c r="A164" s="11"/>
      <c r="B164" s="11"/>
      <c r="C164" s="11" t="s">
        <v>372</v>
      </c>
      <c r="D164" s="11">
        <v>1</v>
      </c>
      <c r="E164" s="11"/>
      <c r="F164" s="15"/>
      <c r="G164" s="11"/>
      <c r="H164" s="11"/>
    </row>
    <row r="165" spans="1:8" x14ac:dyDescent="0.15">
      <c r="A165" s="11"/>
      <c r="B165" s="11"/>
      <c r="C165" s="11" t="s">
        <v>372</v>
      </c>
      <c r="D165" s="11">
        <v>1</v>
      </c>
      <c r="E165" s="11"/>
      <c r="F165" s="15"/>
      <c r="G165" s="11"/>
      <c r="H165" s="11"/>
    </row>
    <row r="166" spans="1:8" x14ac:dyDescent="0.15">
      <c r="A166" s="11"/>
      <c r="B166" s="11"/>
      <c r="C166" s="11" t="s">
        <v>372</v>
      </c>
      <c r="D166" s="11">
        <v>1</v>
      </c>
      <c r="E166" s="11"/>
      <c r="F166" s="15"/>
      <c r="G166" s="11"/>
      <c r="H166" s="11"/>
    </row>
    <row r="167" spans="1:8" x14ac:dyDescent="0.15">
      <c r="A167" s="11"/>
      <c r="B167" s="11" t="s">
        <v>417</v>
      </c>
      <c r="C167" s="11"/>
      <c r="D167" s="11"/>
      <c r="E167" s="11"/>
      <c r="F167" s="11"/>
      <c r="G167" s="11"/>
      <c r="H167" s="11" t="s">
        <v>359</v>
      </c>
    </row>
    <row r="168" spans="1:8" x14ac:dyDescent="0.15">
      <c r="A168" s="11"/>
      <c r="B168" s="11">
        <v>1</v>
      </c>
      <c r="C168" s="15"/>
      <c r="D168" s="18">
        <v>1</v>
      </c>
      <c r="E168" s="11"/>
      <c r="F168" s="15"/>
      <c r="G168" s="11"/>
      <c r="H168" s="17"/>
    </row>
    <row r="169" spans="1:8" x14ac:dyDescent="0.15">
      <c r="A169" s="11"/>
      <c r="B169" s="11">
        <v>2</v>
      </c>
      <c r="C169" s="15"/>
      <c r="D169" s="18">
        <v>1</v>
      </c>
      <c r="E169" s="11"/>
      <c r="F169" s="15"/>
      <c r="G169" s="11"/>
      <c r="H169" s="17"/>
    </row>
    <row r="170" spans="1:8" x14ac:dyDescent="0.15">
      <c r="A170" s="11" t="s">
        <v>386</v>
      </c>
      <c r="B170" s="11"/>
      <c r="C170" s="11"/>
      <c r="D170" s="11"/>
      <c r="E170" s="11">
        <v>2</v>
      </c>
      <c r="F170" s="11"/>
      <c r="G170" s="11"/>
      <c r="H170" s="11"/>
    </row>
    <row r="171" spans="1:8" x14ac:dyDescent="0.15">
      <c r="A171" s="11"/>
      <c r="B171" s="11"/>
      <c r="C171" s="11" t="s">
        <v>367</v>
      </c>
      <c r="D171" s="11">
        <v>1</v>
      </c>
      <c r="E171" s="11"/>
      <c r="F171" s="15"/>
      <c r="G171" s="11"/>
      <c r="H171" s="11"/>
    </row>
    <row r="172" spans="1:8" x14ac:dyDescent="0.15">
      <c r="A172" s="11"/>
      <c r="B172" s="11"/>
      <c r="C172" s="11" t="s">
        <v>368</v>
      </c>
      <c r="D172" s="11">
        <v>1</v>
      </c>
      <c r="E172" s="11"/>
      <c r="F172" s="15"/>
      <c r="G172" s="11"/>
      <c r="H172" s="11"/>
    </row>
    <row r="173" spans="1:8" x14ac:dyDescent="0.15">
      <c r="A173" s="11"/>
      <c r="B173" s="11" t="s">
        <v>417</v>
      </c>
      <c r="C173" s="11"/>
      <c r="D173" s="11"/>
      <c r="E173" s="11"/>
      <c r="F173" s="11"/>
      <c r="G173" s="11"/>
      <c r="H173" s="11" t="s">
        <v>360</v>
      </c>
    </row>
    <row r="174" spans="1:8" x14ac:dyDescent="0.15">
      <c r="A174" s="11"/>
      <c r="B174" s="11">
        <v>1</v>
      </c>
      <c r="C174" s="15"/>
      <c r="D174" s="15"/>
      <c r="E174" s="11"/>
      <c r="F174" s="15"/>
      <c r="G174" s="11"/>
      <c r="H174" s="17"/>
    </row>
    <row r="175" spans="1:8" x14ac:dyDescent="0.15">
      <c r="A175" s="11"/>
      <c r="B175" s="11">
        <v>2</v>
      </c>
      <c r="C175" s="15"/>
      <c r="D175" s="15"/>
      <c r="E175" s="11"/>
      <c r="F175" s="15"/>
      <c r="G175" s="11"/>
      <c r="H175" s="17"/>
    </row>
    <row r="176" spans="1:8" x14ac:dyDescent="0.15">
      <c r="A176" s="11" t="s">
        <v>388</v>
      </c>
      <c r="B176" s="11"/>
      <c r="C176" s="11"/>
      <c r="D176" s="11"/>
      <c r="E176" s="11">
        <v>19</v>
      </c>
      <c r="F176" s="11"/>
      <c r="G176" s="11"/>
      <c r="H176" s="11"/>
    </row>
    <row r="177" spans="1:8" x14ac:dyDescent="0.15">
      <c r="A177" s="11"/>
      <c r="B177" s="11" t="s">
        <v>390</v>
      </c>
      <c r="C177" s="11"/>
      <c r="D177" s="11"/>
      <c r="E177" s="11">
        <v>9</v>
      </c>
      <c r="F177" s="11"/>
      <c r="G177" s="11"/>
      <c r="H177" s="11"/>
    </row>
    <row r="178" spans="1:8" x14ac:dyDescent="0.15">
      <c r="A178" s="11"/>
      <c r="B178" s="11"/>
      <c r="C178" s="11" t="s">
        <v>389</v>
      </c>
      <c r="D178" s="11">
        <v>2</v>
      </c>
      <c r="E178" s="11"/>
      <c r="F178" s="15"/>
      <c r="G178" s="11"/>
      <c r="H178" s="11"/>
    </row>
    <row r="179" spans="1:8" x14ac:dyDescent="0.15">
      <c r="A179" s="11"/>
      <c r="B179" s="11"/>
      <c r="C179" s="11" t="s">
        <v>369</v>
      </c>
      <c r="D179" s="11">
        <v>5</v>
      </c>
      <c r="E179" s="11"/>
      <c r="F179" s="15"/>
      <c r="G179" s="11"/>
      <c r="H179" s="11"/>
    </row>
    <row r="180" spans="1:8" x14ac:dyDescent="0.15">
      <c r="A180" s="11"/>
      <c r="B180" s="11"/>
      <c r="C180" s="11" t="s">
        <v>370</v>
      </c>
      <c r="D180" s="11">
        <v>2</v>
      </c>
      <c r="E180" s="11"/>
      <c r="F180" s="15"/>
      <c r="G180" s="11"/>
      <c r="H180" s="11"/>
    </row>
    <row r="181" spans="1:8" x14ac:dyDescent="0.15">
      <c r="A181" s="11"/>
      <c r="B181" s="11" t="s">
        <v>391</v>
      </c>
      <c r="C181" s="11"/>
      <c r="D181" s="11"/>
      <c r="E181" s="11">
        <v>4</v>
      </c>
      <c r="F181" s="11"/>
      <c r="G181" s="11"/>
      <c r="H181" s="11"/>
    </row>
    <row r="182" spans="1:8" x14ac:dyDescent="0.15">
      <c r="A182" s="11"/>
      <c r="B182" s="11"/>
      <c r="C182" s="11" t="s">
        <v>392</v>
      </c>
      <c r="D182" s="11">
        <v>2</v>
      </c>
      <c r="E182" s="11"/>
      <c r="F182" s="15"/>
      <c r="G182" s="11"/>
      <c r="H182" s="11"/>
    </row>
    <row r="183" spans="1:8" x14ac:dyDescent="0.15">
      <c r="A183" s="11"/>
      <c r="B183" s="11"/>
      <c r="C183" s="11" t="s">
        <v>393</v>
      </c>
      <c r="D183" s="11">
        <v>2</v>
      </c>
      <c r="E183" s="11"/>
      <c r="F183" s="15"/>
      <c r="G183" s="11"/>
      <c r="H183" s="11"/>
    </row>
    <row r="184" spans="1:8" x14ac:dyDescent="0.15">
      <c r="A184" s="11"/>
      <c r="B184" s="22" t="s">
        <v>295</v>
      </c>
      <c r="C184" s="11"/>
      <c r="D184" s="11"/>
      <c r="E184" s="11">
        <v>6</v>
      </c>
      <c r="F184" s="11"/>
      <c r="G184" s="11"/>
      <c r="H184" s="11"/>
    </row>
    <row r="185" spans="1:8" x14ac:dyDescent="0.15">
      <c r="A185" s="11"/>
      <c r="B185" s="11">
        <v>1</v>
      </c>
      <c r="C185" s="15"/>
      <c r="D185" s="18">
        <v>1</v>
      </c>
      <c r="E185" s="11"/>
      <c r="F185" s="15"/>
      <c r="G185" s="11"/>
      <c r="H185" s="11"/>
    </row>
    <row r="186" spans="1:8" x14ac:dyDescent="0.15">
      <c r="A186" s="11"/>
      <c r="B186" s="11">
        <v>2</v>
      </c>
      <c r="C186" s="15"/>
      <c r="D186" s="18">
        <v>1</v>
      </c>
      <c r="E186" s="11"/>
      <c r="F186" s="15"/>
      <c r="G186" s="11"/>
      <c r="H186" s="11"/>
    </row>
    <row r="187" spans="1:8" x14ac:dyDescent="0.15">
      <c r="A187" s="11"/>
      <c r="B187" s="11">
        <v>3</v>
      </c>
      <c r="C187" s="15"/>
      <c r="D187" s="18">
        <v>1</v>
      </c>
      <c r="E187" s="11"/>
      <c r="F187" s="15"/>
      <c r="G187" s="11"/>
      <c r="H187" s="11"/>
    </row>
    <row r="188" spans="1:8" x14ac:dyDescent="0.15">
      <c r="A188" s="11"/>
      <c r="B188" s="11">
        <v>4</v>
      </c>
      <c r="C188" s="15"/>
      <c r="D188" s="18">
        <v>1</v>
      </c>
      <c r="E188" s="11"/>
      <c r="F188" s="15"/>
      <c r="G188" s="11"/>
      <c r="H188" s="11"/>
    </row>
    <row r="189" spans="1:8" x14ac:dyDescent="0.15">
      <c r="A189" s="11"/>
      <c r="B189" s="11">
        <v>5</v>
      </c>
      <c r="C189" s="15"/>
      <c r="D189" s="18">
        <v>1</v>
      </c>
      <c r="E189" s="11"/>
      <c r="F189" s="15"/>
      <c r="G189" s="11"/>
      <c r="H189" s="11"/>
    </row>
    <row r="190" spans="1:8" x14ac:dyDescent="0.15">
      <c r="A190" s="11"/>
      <c r="B190" s="11">
        <v>6</v>
      </c>
      <c r="C190" s="15"/>
      <c r="D190" s="18">
        <v>1</v>
      </c>
      <c r="E190" s="11"/>
      <c r="F190" s="15"/>
      <c r="G190" s="11"/>
      <c r="H190" s="11"/>
    </row>
    <row r="191" spans="1:8" x14ac:dyDescent="0.15">
      <c r="A191" s="11"/>
      <c r="B191" s="11" t="s">
        <v>417</v>
      </c>
      <c r="C191" s="11"/>
      <c r="D191" s="18"/>
      <c r="E191" s="11"/>
      <c r="F191" s="11"/>
      <c r="G191" s="18"/>
      <c r="H191" s="11" t="s">
        <v>361</v>
      </c>
    </row>
    <row r="192" spans="1:8" x14ac:dyDescent="0.15">
      <c r="A192" s="11"/>
      <c r="B192" s="11">
        <v>1</v>
      </c>
      <c r="C192" s="15"/>
      <c r="D192" s="18">
        <v>1</v>
      </c>
      <c r="E192" s="11"/>
      <c r="F192" s="15"/>
      <c r="G192" s="18"/>
      <c r="H192" s="17"/>
    </row>
    <row r="193" spans="1:8" x14ac:dyDescent="0.15">
      <c r="A193" s="11"/>
      <c r="B193" s="11">
        <v>2</v>
      </c>
      <c r="C193" s="15"/>
      <c r="D193" s="18">
        <v>1</v>
      </c>
      <c r="E193" s="11"/>
      <c r="F193" s="15"/>
      <c r="G193" s="18"/>
      <c r="H193" s="17"/>
    </row>
    <row r="194" spans="1:8" x14ac:dyDescent="0.15">
      <c r="D194" s="439"/>
    </row>
  </sheetData>
  <mergeCells count="9">
    <mergeCell ref="A11:B11"/>
    <mergeCell ref="A12:B12"/>
    <mergeCell ref="A3:B3"/>
    <mergeCell ref="A4:B4"/>
    <mergeCell ref="A5:B5"/>
    <mergeCell ref="A8:B8"/>
    <mergeCell ref="A9:B9"/>
    <mergeCell ref="A10:B10"/>
    <mergeCell ref="A7:B7"/>
  </mergeCells>
  <phoneticPr fontId="1"/>
  <pageMargins left="0.7" right="0.7" top="0.75" bottom="0.75" header="0.3" footer="0.3"/>
  <pageSetup paperSize="9" scale="63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'Do not Change'!$C$1:$C$4</xm:f>
          </x14:formula1>
          <xm:sqref>C10</xm:sqref>
        </x14:dataValidation>
        <x14:dataValidation type="list" allowBlank="1" showInputMessage="1" showErrorMessage="1">
          <x14:formula1>
            <xm:f>'Do not Change'!$A$1:$A$8</xm:f>
          </x14:formula1>
          <xm:sqref>C7</xm:sqref>
        </x14:dataValidation>
        <x14:dataValidation type="list" allowBlank="1" showInputMessage="1" showErrorMessage="1">
          <x14:formula1>
            <xm:f>'Do not Change'!$B$1:$B$2</xm:f>
          </x14:formula1>
          <xm:sqref>F17:F18 F20:F25 F27:F33 F43:F52 F54:F55 F57:F68 F70:F73 F80:F87 F96:F97 F117:F123 F125 F127:F128 F130:F131 F133:F134 F136:F155 F157:F158 F160:F166 F168:F169 F171:F172 F174:F175 F178:F180 F182:F183 F185:F190 F192:F193 F35:G40 F75:G78 G84:G87 H80:H81 F89:H94 F99:H104 F107:H112 H157:H158 H168:H169 H174:H175 H192:H193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4" sqref="C4"/>
    </sheetView>
  </sheetViews>
  <sheetFormatPr defaultRowHeight="13.5" x14ac:dyDescent="0.15"/>
  <cols>
    <col min="4" max="4" width="45.875" bestFit="1" customWidth="1"/>
  </cols>
  <sheetData>
    <row r="1" spans="1:3" x14ac:dyDescent="0.15">
      <c r="A1" t="s">
        <v>315</v>
      </c>
      <c r="B1" t="s">
        <v>189</v>
      </c>
      <c r="C1" t="s">
        <v>398</v>
      </c>
    </row>
    <row r="2" spans="1:3" x14ac:dyDescent="0.15">
      <c r="A2" t="s">
        <v>316</v>
      </c>
      <c r="C2" t="s">
        <v>400</v>
      </c>
    </row>
    <row r="3" spans="1:3" x14ac:dyDescent="0.15">
      <c r="A3" t="s">
        <v>317</v>
      </c>
      <c r="C3" t="s">
        <v>401</v>
      </c>
    </row>
    <row r="4" spans="1:3" x14ac:dyDescent="0.15">
      <c r="A4" t="s">
        <v>318</v>
      </c>
      <c r="C4" t="s">
        <v>399</v>
      </c>
    </row>
    <row r="5" spans="1:3" x14ac:dyDescent="0.15">
      <c r="A5" t="s">
        <v>319</v>
      </c>
    </row>
    <row r="6" spans="1:3" x14ac:dyDescent="0.15">
      <c r="A6" t="s">
        <v>320</v>
      </c>
    </row>
    <row r="7" spans="1:3" x14ac:dyDescent="0.15">
      <c r="A7" t="s">
        <v>321</v>
      </c>
    </row>
    <row r="8" spans="1:3" x14ac:dyDescent="0.15">
      <c r="A8" t="s">
        <v>322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★共創(2023入) </vt:lpstr>
      <vt:lpstr>入力用</vt:lpstr>
      <vt:lpstr>変更不可</vt:lpstr>
      <vt:lpstr>★ISI (2023)</vt:lpstr>
      <vt:lpstr>For Data entry</vt:lpstr>
      <vt:lpstr>Do not Change</vt:lpstr>
      <vt:lpstr>'★ISI (2023)'!Print_Area</vt:lpstr>
      <vt:lpstr>'For Data entry'!Print_Area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2023-10-03T03:17:07Z</dcterms:modified>
</cp:coreProperties>
</file>